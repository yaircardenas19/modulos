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Estanque B" state="visible" r:id="rId5"/>
  </sheets>
  <calcPr calcId="171027" fullCalcOnLoad="1"/>
</workbook>
</file>

<file path=xl/sharedStrings.xml><?xml version="1.0" encoding="utf-8"?>
<sst xmlns="http://schemas.openxmlformats.org/spreadsheetml/2006/main" count="59" uniqueCount="59">
  <si>
    <t>Capítulo 3 · El centro, la dispersión y la forma</t>
  </si>
  <si>
    <t>Hoja del QR de recursos · Módulo de Bioestadística · Semestre 2026-2</t>
  </si>
  <si>
    <t>Qué trae este libro</t>
  </si>
  <si>
    <t>Estanque B</t>
  </si>
  <si>
    <t>Los diez pesos del bloque 7 y todas las medidas del capítulo, cada una con su función.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</si>
  <si>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</si>
  <si>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</si>
  <si>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</si>
  <si>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</si>
  <si>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</si>
  <si>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</si>
  <si>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=PROMEDIO(rango)</t>
  </si>
  <si>
    <t>la media</t>
  </si>
  <si>
    <t>=MEDIANA(rango)</t>
  </si>
  <si>
    <t>el del medio</t>
  </si>
  <si>
    <t>=MODA.UNO(rango)</t>
  </si>
  <si>
    <t>el valor que más se repite</t>
  </si>
  <si>
    <t>=CUARTIL.INC(rango;1)</t>
  </si>
  <si>
    <t>el primer cuartil, como lo calcula Excel</t>
  </si>
  <si>
    <t>=DESVEST.M(rango)</t>
  </si>
  <si>
    <t>la desviación estándar de una muestra</t>
  </si>
  <si>
    <t>=VAR.M(rango)</t>
  </si>
  <si>
    <t>la varianza de una muestra</t>
  </si>
  <si>
    <t>Si tu Excel está en inglés, las funciones aparecen con su nombre en inglés. Es la misma fórmula.</t>
  </si>
  <si>
    <t>Diez peces del estanque B</t>
  </si>
  <si>
    <t>Ordenados, como en el cuadrante de datos del bloque 7.</t>
  </si>
  <si>
    <t>Pez</t>
  </si>
  <si>
    <t>Peso (g)</t>
  </si>
  <si>
    <t>Medida</t>
  </si>
  <si>
    <t>Valor</t>
  </si>
  <si>
    <t>En tu Excel se escribe</t>
  </si>
  <si>
    <t>n</t>
  </si>
  <si>
    <t>=CONTAR(B5:B14)</t>
  </si>
  <si>
    <t>Media</t>
  </si>
  <si>
    <t>=PROMEDIO(B5:B14)</t>
  </si>
  <si>
    <t>Mediana</t>
  </si>
  <si>
    <t>=MEDIANA(B5:B14)</t>
  </si>
  <si>
    <t>Moda</t>
  </si>
  <si>
    <t>=MODA.UNO(B5:B14)</t>
  </si>
  <si>
    <t>Q₁ según Excel (CUARTIL.INC)</t>
  </si>
  <si>
    <t>=CUARTIL.INC(B5:B14;1)</t>
  </si>
  <si>
    <t>Q₃ según Excel (CUARTIL.INC)</t>
  </si>
  <si>
    <t>=CUARTIL.INC(B5:B14;3)</t>
  </si>
  <si>
    <t>Q₁ según el libro (mediana de la mitad de abajo)</t>
  </si>
  <si>
    <t>=MEDIANA(B5:B9)</t>
  </si>
  <si>
    <t>Q₃ según el libro (mediana de la mitad de arriba)</t>
  </si>
  <si>
    <t>=MEDIANA(B10:B14)</t>
  </si>
  <si>
    <t>Rango</t>
  </si>
  <si>
    <t>=MAX(B5:B14)-MIN(B5:B14)</t>
  </si>
  <si>
    <t>Rango intercuartílico (libro)</t>
  </si>
  <si>
    <t>=E12-E11</t>
  </si>
  <si>
    <t>Varianza</t>
  </si>
  <si>
    <t>=VAR.M(B5:B14)</t>
  </si>
  <si>
    <t>Desviación estándar</t>
  </si>
  <si>
    <t>=DESVEST.M(B5:B14)</t>
  </si>
  <si>
    <t>Coeficiente de variación</t>
  </si>
  <si>
    <t>=DESVEST.M(B5:B14)/PROMEDIO(B5:B14)</t>
  </si>
  <si>
    <t>¿Por qué Excel no da el mismo Q₁ que el libro? Hay varias maneras de calcular cuartiles. El libro usa la mediana de cada mitad (315 y 482). CUARTIL.INC interpola entre dos datos vecinos (317,5 y 479). Con diez datos la diferencia se nota; con cientos, casi desaparece. Las dos son correctas: lo importante es decir cuál se usó.</t>
  </si>
  <si>
    <t>Fíjate en el promedio: 400 g, y ningún pez pesa entre 340 y 455. Hay dos grupos. Por eso todo centro va con su dispersión, y por eso hay que mirar el gráfico.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</si>
</sst>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5E6B70"/>
      <name val="Consolas"/>
    </font>
    <font>
      <color rgb="FF1F2A2E"/>
    </font>
    <font>
      <i/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0" fontId="5" fillId="0" borderId="0" xfId="0" applyFont="1"/>
    <xf numFmtId="164" fontId="3" fillId="3" borderId="1" xfId="0" applyNumberFormat="1" applyFont="1" applyFill="1" applyBorder="1"/>
    <xf numFmtId="164" fontId="0" fillId="0" borderId="1" xfId="0" applyNumberFormat="1" applyBorder="1"/>
    <xf numFmtId="165" fontId="3" fillId="3" borderId="1" xfId="0" applyNumberFormat="1" applyFont="1" applyFill="1" applyBorder="1"/>
    <xf numFmtId="0" fontId="6" fillId="5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7" spans="1:1" x14ac:dyDescent="0.25">
      <c r="A7" s="3" t="s">
        <v>5</v>
      </c>
    </row>
    <row r="8" spans="1:2" x14ac:dyDescent="0.25">
      <c r="A8" s="5" t="s">
        <v>6</v>
      </c>
      <c r="B8" t="s">
        <v>7</v>
      </c>
    </row>
    <row r="9" spans="1:2" x14ac:dyDescent="0.25">
      <c r="A9" s="6" t="s">
        <v>8</v>
      </c>
      <c r="B9" t="s">
        <v>9</v>
      </c>
    </row>
    <row r="11" spans="1:1" x14ac:dyDescent="0.25">
      <c r="A11" s="3" t="s">
        <v>10</v>
      </c>
    </row>
    <row r="12" spans="1:2" x14ac:dyDescent="0.25">
      <c r="A12" s="7" t="s">
        <v>11</v>
      </c>
      <c r="B12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6" spans="1:2" x14ac:dyDescent="0.25">
      <c r="A16" s="7" t="s">
        <v>19</v>
      </c>
      <c r="B16" t="s">
        <v>20</v>
      </c>
    </row>
    <row r="17" spans="1:2" x14ac:dyDescent="0.25">
      <c r="A17" s="7" t="s">
        <v>21</v>
      </c>
      <c r="B17" t="s">
        <v>22</v>
      </c>
    </row>
    <row r="19" spans="1:1" x14ac:dyDescent="0.25">
      <c r="A19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6" outlineLevelRow="0" outlineLevelCol="0" x14ac:dyDescent="55" customHeight="1"/>
  <cols>
    <col min="1" max="1" width="8" customWidth="1"/>
    <col min="2" max="2" width="12" customWidth="1"/>
    <col min="3" max="3" width="4" customWidth="1"/>
    <col min="4" max="4" width="34" customWidth="1"/>
    <col min="5" max="5" width="14" customWidth="1"/>
    <col min="6" max="6" width="30" customWidth="1"/>
  </cols>
  <sheetData>
    <row r="1" spans="1:1" x14ac:dyDescent="0.25">
      <c r="A1" s="1" t="s">
        <v>24</v>
      </c>
    </row>
    <row r="2" spans="1:1" x14ac:dyDescent="0.25">
      <c r="A2" s="2" t="s">
        <v>25</v>
      </c>
    </row>
    <row r="4" spans="1:6" x14ac:dyDescent="0.25">
      <c r="A4" s="8" t="s">
        <v>26</v>
      </c>
      <c r="B4" s="8" t="s">
        <v>27</v>
      </c>
      <c r="D4" s="8" t="s">
        <v>28</v>
      </c>
      <c r="E4" s="8" t="s">
        <v>29</v>
      </c>
      <c r="F4" s="8" t="s">
        <v>30</v>
      </c>
    </row>
    <row r="5" spans="1:6" x14ac:dyDescent="0.25">
      <c r="A5" s="9">
        <v>1</v>
      </c>
      <c r="B5" s="10">
        <v>298</v>
      </c>
      <c r="D5" t="s">
        <v>31</v>
      </c>
      <c r="E5" s="11">
        <f>COUNT(B5:B14)</f>
        <v>10</v>
      </c>
      <c r="F5" s="12" t="s">
        <v>32</v>
      </c>
    </row>
    <row r="6" spans="1:6" x14ac:dyDescent="0.25">
      <c r="A6" s="9">
        <v>2</v>
      </c>
      <c r="B6" s="10">
        <v>310</v>
      </c>
      <c r="D6" t="s">
        <v>33</v>
      </c>
      <c r="E6" s="13">
        <f>AVERAGE(B5:B14)</f>
        <v>400</v>
      </c>
      <c r="F6" s="12" t="s">
        <v>34</v>
      </c>
    </row>
    <row r="7" spans="1:6" x14ac:dyDescent="0.25">
      <c r="A7" s="9">
        <v>3</v>
      </c>
      <c r="B7" s="10">
        <v>315</v>
      </c>
      <c r="D7" t="s">
        <v>35</v>
      </c>
      <c r="E7" s="14">
        <f>MEDIAN(B5:B14)</f>
        <v>397.5</v>
      </c>
      <c r="F7" s="12" t="s">
        <v>36</v>
      </c>
    </row>
    <row r="8" spans="1:6" x14ac:dyDescent="0.25">
      <c r="A8" s="9">
        <v>4</v>
      </c>
      <c r="B8" s="10">
        <v>325</v>
      </c>
      <c r="D8" t="s">
        <v>37</v>
      </c>
      <c r="E8" s="9" t="str">
        <f>IFERROR(_xlfn.MODE.SNGL(B5:B14),"no hay: ningún peso se repite")</f>
        <v>no hay: ningún peso se repite</v>
      </c>
      <c r="F8" s="12" t="s">
        <v>38</v>
      </c>
    </row>
    <row r="9" spans="1:6" x14ac:dyDescent="0.25">
      <c r="A9" s="9">
        <v>5</v>
      </c>
      <c r="B9" s="10">
        <v>340</v>
      </c>
      <c r="D9" t="s">
        <v>39</v>
      </c>
      <c r="E9" s="14">
        <f>_xlfn.QUARTILE.INC(B5:B14,1)</f>
        <v>317.5</v>
      </c>
      <c r="F9" s="12" t="s">
        <v>40</v>
      </c>
    </row>
    <row r="10" spans="1:6" x14ac:dyDescent="0.25">
      <c r="A10" s="9">
        <v>6</v>
      </c>
      <c r="B10" s="10">
        <v>455</v>
      </c>
      <c r="D10" t="s">
        <v>41</v>
      </c>
      <c r="E10" s="14">
        <f>_xlfn.QUARTILE.INC(B5:B14,3)</f>
        <v>479</v>
      </c>
      <c r="F10" s="12" t="s">
        <v>42</v>
      </c>
    </row>
    <row r="11" spans="1:6" x14ac:dyDescent="0.25">
      <c r="A11" s="9">
        <v>7</v>
      </c>
      <c r="B11" s="10">
        <v>470</v>
      </c>
      <c r="D11" t="s">
        <v>43</v>
      </c>
      <c r="E11" s="14">
        <f>MEDIAN(B5:B9)</f>
        <v>315</v>
      </c>
      <c r="F11" s="12" t="s">
        <v>44</v>
      </c>
    </row>
    <row r="12" spans="1:6" x14ac:dyDescent="0.25">
      <c r="A12" s="9">
        <v>8</v>
      </c>
      <c r="B12" s="10">
        <v>482</v>
      </c>
      <c r="D12" t="s">
        <v>45</v>
      </c>
      <c r="E12" s="14">
        <f>MEDIAN(B10:B14)</f>
        <v>482</v>
      </c>
      <c r="F12" s="12" t="s">
        <v>46</v>
      </c>
    </row>
    <row r="13" spans="1:6" x14ac:dyDescent="0.25">
      <c r="A13" s="9">
        <v>9</v>
      </c>
      <c r="B13" s="10">
        <v>495</v>
      </c>
      <c r="D13" t="s">
        <v>47</v>
      </c>
      <c r="E13" s="11">
        <f>MAX(B5:B14)-MIN(B5:B14)</f>
        <v>212</v>
      </c>
      <c r="F13" s="12" t="s">
        <v>48</v>
      </c>
    </row>
    <row r="14" spans="1:6" x14ac:dyDescent="0.25">
      <c r="A14" s="9">
        <v>10</v>
      </c>
      <c r="B14" s="10">
        <v>510</v>
      </c>
      <c r="D14" t="s">
        <v>49</v>
      </c>
      <c r="E14" s="11">
        <f>E12-E11</f>
        <v>167</v>
      </c>
      <c r="F14" s="12" t="s">
        <v>50</v>
      </c>
    </row>
    <row r="15" spans="4:6" x14ac:dyDescent="0.25">
      <c r="D15" t="s">
        <v>51</v>
      </c>
      <c r="E15" s="14">
        <f>_xlfn.VAR.S(B5:B14)</f>
        <v>7858.666666666667</v>
      </c>
      <c r="F15" s="12" t="s">
        <v>52</v>
      </c>
    </row>
    <row r="16" spans="4:6" x14ac:dyDescent="0.25">
      <c r="D16" t="s">
        <v>53</v>
      </c>
      <c r="E16" s="13">
        <f>_xlfn.STDEV.S(B5:B14)</f>
        <v>88.649121071033</v>
      </c>
      <c r="F16" s="12" t="s">
        <v>54</v>
      </c>
    </row>
    <row r="17" spans="4:6" x14ac:dyDescent="0.25">
      <c r="D17" t="s">
        <v>55</v>
      </c>
      <c r="E17" s="15">
        <f>E16/E6</f>
        <v>0.2216228026775825</v>
      </c>
      <c r="F17" s="12" t="s">
        <v>56</v>
      </c>
    </row>
    <row r="19" ht="16" customHeight="1" spans="4:6" x14ac:dyDescent="0.25">
      <c r="D19" s="16" t="s">
        <v>57</v>
      </c>
      <c r="E19" s="16"/>
      <c r="F19" s="16"/>
    </row>
    <row r="20" spans="4:6" x14ac:dyDescent="0.25">
      <c r="D20" s="16"/>
      <c r="E20" s="16"/>
      <c r="F20" s="16"/>
    </row>
    <row r="21" spans="4:6" x14ac:dyDescent="0.25">
      <c r="D21" s="16"/>
      <c r="E21" s="16"/>
      <c r="F21" s="16"/>
    </row>
    <row r="22" spans="4:6" x14ac:dyDescent="0.25">
      <c r="D22" s="16"/>
      <c r="E22" s="16"/>
      <c r="F22" s="16"/>
    </row>
    <row r="24" ht="16" customHeight="1" spans="4:6" x14ac:dyDescent="0.25">
      <c r="D24" s="17" t="s">
        <v>58</v>
      </c>
      <c r="E24" s="17"/>
      <c r="F24" s="17"/>
    </row>
    <row r="25" spans="4:6" x14ac:dyDescent="0.25">
      <c r="D25" s="17"/>
      <c r="E25" s="17"/>
      <c r="F25" s="17"/>
    </row>
  </sheetData>
  <mergeCells count="2">
    <mergeCell ref="D19:F22"/>
    <mergeCell ref="D24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Léeme</vt:lpstr>
      <vt:lpstr>Estanque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Centro y dispersión</dc:title>
  <dc:subject/>
  <dc:description/>
  <cp:keywords/>
  <cp:category/>
  <cp:lastModifiedBy>Unknown</cp:lastModifiedBy>
  <dcterms:created xsi:type="dcterms:W3CDTF">2026-09-19T13:43:35Z</dcterms:created>
  <dcterms:modified xsi:type="dcterms:W3CDTF">2026-09-19T13:43:35Z</dcterms:modified>
</cp:coreProperties>
</file>