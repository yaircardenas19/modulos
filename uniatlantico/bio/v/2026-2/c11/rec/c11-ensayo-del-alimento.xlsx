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Ensayo" state="visible" r:id="rId5"/>
  </sheets>
  <calcPr calcId="171027" fullCalcOnLoad="1"/>
</workbook>
</file>

<file path=xl/sharedStrings.xml><?xml version="1.0" encoding="utf-8"?>
<sst xmlns="http://schemas.openxmlformats.org/spreadsheetml/2006/main" count="37" uniqueCount="37">
  <si>
    <t>Capítulo 11 · Poner una afirmación a prueba</t>
  </si>
  <si>
    <t>Hoja del QR de recursos · Módulo de Bioestadística · Semestre 2026-2</t>
  </si>
  <si>
    <t>Qué trae este libro</t>
  </si>
  <si>
    <t>Ensayo</t>
  </si>
  <si>
    <t>Ganancia diaria de 30 peces con cada alimento, y la prueba t completa.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</si>
  <si>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</si>
  <si>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</si>
  <si>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</si>
  <si>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</si>
  <si>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</si>
  <si>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</si>
  <si>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=PRUEBA.T(rango1;rango2;2;3)</t>
  </si>
  <si>
    <t>el valor p de dos colas, varianzas distintas</t>
  </si>
  <si>
    <t>=DISTR.T.2C(t;gl)</t>
  </si>
  <si>
    <t>el valor p a partir del estadístico t</t>
  </si>
  <si>
    <t>=INV.T.2C(0,05;gl)</t>
  </si>
  <si>
    <t>el t crítico del 5 % a dos colas</t>
  </si>
  <si>
    <t>Si tu Excel está en inglés, las funciones aparecen con su nombre en inglés. Es la misma fórmula.</t>
  </si>
  <si>
    <t>¿El alimento nuevo rinde menos?</t>
  </si>
  <si>
    <t>Dos estanques iguales, 30 peces medidos en cada uno. Ganancia en gramos por día.</t>
  </si>
  <si>
    <t>Pez</t>
  </si>
  <si>
    <t>Alimento de siempre</t>
  </si>
  <si>
    <t>Alimento nuevo</t>
  </si>
  <si>
    <t>n de siempre · n del nuevo</t>
  </si>
  <si>
    <t>Promedio de siempre · del nuevo (g/día)</t>
  </si>
  <si>
    <t>Desviación de siempre · del nuevo</t>
  </si>
  <si>
    <t>Diferencia de promedios</t>
  </si>
  <si>
    <t>Error estándar de la diferencia</t>
  </si>
  <si>
    <t>t = diferencia / error estándar</t>
  </si>
  <si>
    <t>Grados de libertad (Welch)</t>
  </si>
  <si>
    <t>Valor p con PRUEBA.T</t>
  </si>
  <si>
    <t>Valor p a partir de t</t>
  </si>
  <si>
    <t>t crítico del 5 %, dos colas</t>
  </si>
  <si>
    <t>Intervalo del 95 % de la diferencia: desde</t>
  </si>
  <si>
    <t>hasta</t>
  </si>
  <si>
    <t>Decisión con α = 0,05</t>
  </si>
  <si>
    <t>Si H₀ fuera cierta —si los dos alimentos rindieran igual—, una diferencia de 0,23 g/día o mayor saldría por puro azar unas 3 veces de cada 100. Es poco, y por eso se rechaza H₀. Pero que la diferencia sea real no dice si vale la pena cambiar: eso se decide en plata, con lo que cuesta el bulto.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</si>
</sst>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6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i/>
      <color rgb="FF1F2A2E"/>
    </font>
  </fonts>
  <fills count="5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EDEAE0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4" borderId="1" xfId="0" applyFont="1" applyFill="1" applyBorder="1" applyAlignment="1">
      <alignment vertical="center" wrapText="1"/>
    </xf>
    <xf numFmtId="0" fontId="0" fillId="0" borderId="1" xfId="0" applyBorder="1"/>
    <xf numFmtId="2" fontId="0" fillId="2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2" fontId="3" fillId="3" borderId="1" xfId="0" applyNumberFormat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4" fontId="3" fillId="3" borderId="1" xfId="0" applyNumberFormat="1" applyFont="1" applyFill="1" applyBorder="1"/>
    <xf numFmtId="0" fontId="3" fillId="3" borderId="1" xfId="0" applyFont="1" applyFill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7" spans="1:1" x14ac:dyDescent="0.25">
      <c r="A7" s="3" t="s">
        <v>5</v>
      </c>
    </row>
    <row r="8" spans="1:2" x14ac:dyDescent="0.25">
      <c r="A8" s="5" t="s">
        <v>6</v>
      </c>
      <c r="B8" t="s">
        <v>7</v>
      </c>
    </row>
    <row r="9" spans="1:2" x14ac:dyDescent="0.25">
      <c r="A9" s="6" t="s">
        <v>8</v>
      </c>
      <c r="B9" t="s">
        <v>9</v>
      </c>
    </row>
    <row r="11" spans="1:1" x14ac:dyDescent="0.25">
      <c r="A11" s="3" t="s">
        <v>10</v>
      </c>
    </row>
    <row r="12" spans="1:2" x14ac:dyDescent="0.25">
      <c r="A12" s="7" t="s">
        <v>11</v>
      </c>
      <c r="B12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6" spans="1:1" x14ac:dyDescent="0.25">
      <c r="A1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6" outlineLevelRow="0" outlineLevelCol="0" x14ac:dyDescent="55" customHeight="1"/>
  <cols>
    <col min="1" max="1" width="8" customWidth="1"/>
    <col min="2" max="3" width="16" customWidth="1"/>
    <col min="4" max="4" width="4" customWidth="1"/>
    <col min="5" max="5" width="44" customWidth="1"/>
    <col min="6" max="7" width="14" customWidth="1"/>
  </cols>
  <sheetData>
    <row r="1" spans="1:1" x14ac:dyDescent="0.25">
      <c r="A1" s="1" t="s">
        <v>18</v>
      </c>
    </row>
    <row r="2" spans="1:1" x14ac:dyDescent="0.25">
      <c r="A2" s="2" t="s">
        <v>19</v>
      </c>
    </row>
    <row r="4" spans="1:3" x14ac:dyDescent="0.25">
      <c r="A4" s="8" t="s">
        <v>20</v>
      </c>
      <c r="B4" s="8" t="s">
        <v>21</v>
      </c>
      <c r="C4" s="8" t="s">
        <v>22</v>
      </c>
    </row>
    <row r="5" spans="1:7" x14ac:dyDescent="0.25">
      <c r="A5" s="9">
        <v>1</v>
      </c>
      <c r="B5" s="10">
        <v>2.66</v>
      </c>
      <c r="C5" s="10">
        <v>2.79</v>
      </c>
      <c r="E5" t="s">
        <v>23</v>
      </c>
      <c r="F5" s="11">
        <f>COUNT(B5:B34)</f>
        <v>30</v>
      </c>
      <c r="G5" s="11">
        <f>COUNT(C5:C34)</f>
        <v>30</v>
      </c>
    </row>
    <row r="6" spans="1:7" x14ac:dyDescent="0.25">
      <c r="A6" s="9">
        <v>2</v>
      </c>
      <c r="B6" s="10">
        <v>2.33</v>
      </c>
      <c r="C6" s="10">
        <v>2.39</v>
      </c>
      <c r="E6" t="s">
        <v>24</v>
      </c>
      <c r="F6" s="12">
        <f>AVERAGE(B5:B34)</f>
        <v>2.31</v>
      </c>
      <c r="G6" s="12">
        <f>AVERAGE(C5:C34)</f>
        <v>2.08</v>
      </c>
    </row>
    <row r="7" spans="1:7" x14ac:dyDescent="0.25">
      <c r="A7" s="9">
        <v>3</v>
      </c>
      <c r="B7" s="10">
        <v>2.61</v>
      </c>
      <c r="C7" s="10">
        <v>1.67</v>
      </c>
      <c r="E7" t="s">
        <v>25</v>
      </c>
      <c r="F7" s="12">
        <f>_xlfn.STDEV.S(B5:B34)</f>
        <v>0.4203692957716896</v>
      </c>
      <c r="G7" s="12">
        <f>_xlfn.STDEV.S(C5:C34)</f>
        <v>0.3887734913625244</v>
      </c>
    </row>
    <row r="8" spans="1:3" x14ac:dyDescent="0.25">
      <c r="A8" s="9">
        <v>4</v>
      </c>
      <c r="B8" s="10">
        <v>3.35</v>
      </c>
      <c r="C8" s="10">
        <v>1.3</v>
      </c>
    </row>
    <row r="9" spans="1:6" x14ac:dyDescent="0.25">
      <c r="A9" s="9">
        <v>5</v>
      </c>
      <c r="B9" s="10">
        <v>2.24</v>
      </c>
      <c r="C9" s="10">
        <v>2</v>
      </c>
      <c r="E9" t="s">
        <v>26</v>
      </c>
      <c r="F9" s="13">
        <f>F6-G6</f>
        <v>0.23000000000000043</v>
      </c>
    </row>
    <row r="10" spans="1:6" x14ac:dyDescent="0.25">
      <c r="A10" s="9">
        <v>6</v>
      </c>
      <c r="B10" s="10">
        <v>2.11</v>
      </c>
      <c r="C10" s="10">
        <v>2.58</v>
      </c>
      <c r="E10" t="s">
        <v>27</v>
      </c>
      <c r="F10" s="14">
        <f>SQRT(F7^2/F5+G7^2/G5)</f>
        <v>0.10453949371948591</v>
      </c>
    </row>
    <row r="11" spans="1:6" x14ac:dyDescent="0.25">
      <c r="A11" s="9">
        <v>7</v>
      </c>
      <c r="B11" s="10">
        <v>3.24</v>
      </c>
      <c r="C11" s="10">
        <v>2.46</v>
      </c>
      <c r="E11" t="s">
        <v>28</v>
      </c>
      <c r="F11" s="13">
        <f>F9/F10</f>
        <v>2.2001254436640627</v>
      </c>
    </row>
    <row r="12" spans="1:6" x14ac:dyDescent="0.25">
      <c r="A12" s="9">
        <v>8</v>
      </c>
      <c r="B12" s="10">
        <v>2.33</v>
      </c>
      <c r="C12" s="10">
        <v>1.95</v>
      </c>
      <c r="E12" t="s">
        <v>29</v>
      </c>
      <c r="F12" s="15">
        <f>(F7^2/F5+G7^2/G5)^2/((F7^2/F5)^2/(F5-1)+(G7^2/G5)^2/(G5-1))</f>
        <v>57.64945779417521</v>
      </c>
    </row>
    <row r="13" spans="1:6" x14ac:dyDescent="0.25">
      <c r="A13" s="9">
        <v>9</v>
      </c>
      <c r="B13" s="10">
        <v>1.85</v>
      </c>
      <c r="C13" s="10">
        <v>2.3</v>
      </c>
      <c r="E13" t="s">
        <v>30</v>
      </c>
      <c r="F13" s="16">
        <f>_xlfn.T.TEST(B5:B34,C5:C34,2,3)</f>
        <v>0.03181995027337256</v>
      </c>
    </row>
    <row r="14" spans="1:6" x14ac:dyDescent="0.25">
      <c r="A14" s="9">
        <v>10</v>
      </c>
      <c r="B14" s="10">
        <v>2.39</v>
      </c>
      <c r="C14" s="10">
        <v>1.52</v>
      </c>
      <c r="E14" t="s">
        <v>31</v>
      </c>
      <c r="F14" s="14">
        <f>_xlfn.T.DIST.2T(ABS(F11),F12)</f>
        <v>0.03186653754454973</v>
      </c>
    </row>
    <row r="15" spans="1:6" x14ac:dyDescent="0.25">
      <c r="A15" s="9">
        <v>11</v>
      </c>
      <c r="B15" s="10">
        <v>2.28</v>
      </c>
      <c r="C15" s="10">
        <v>2.01</v>
      </c>
      <c r="E15" t="s">
        <v>32</v>
      </c>
      <c r="F15" s="14">
        <f>_xlfn.T.INV.2T(0.05,F12)</f>
        <v>2.002465459290999</v>
      </c>
    </row>
    <row r="16" spans="1:6" x14ac:dyDescent="0.25">
      <c r="A16" s="9">
        <v>12</v>
      </c>
      <c r="B16" s="10">
        <v>2.82</v>
      </c>
      <c r="C16" s="10">
        <v>2.33</v>
      </c>
      <c r="E16" t="s">
        <v>33</v>
      </c>
      <c r="F16" s="12">
        <f>F9-F15*F10</f>
        <v>0.02066327469496157</v>
      </c>
    </row>
    <row r="17" spans="1:6" x14ac:dyDescent="0.25">
      <c r="A17" s="9">
        <v>13</v>
      </c>
      <c r="B17" s="10">
        <v>2.44</v>
      </c>
      <c r="C17" s="10">
        <v>2.27</v>
      </c>
      <c r="E17" t="s">
        <v>34</v>
      </c>
      <c r="F17" s="12">
        <f>F9+F15*F10</f>
        <v>0.4393367253050393</v>
      </c>
    </row>
    <row r="18" spans="1:6" x14ac:dyDescent="0.25">
      <c r="A18" s="9">
        <v>14</v>
      </c>
      <c r="B18" s="10">
        <v>2.53</v>
      </c>
      <c r="C18" s="10">
        <v>1.42</v>
      </c>
      <c r="E18" t="s">
        <v>35</v>
      </c>
      <c r="F18" s="17" t="str">
        <f>IF(F13&lt;0.05,"se rechaza H₀","no se rechaza H₀")</f>
        <v>se rechaza H₀</v>
      </c>
    </row>
    <row r="19" spans="1:3" x14ac:dyDescent="0.25">
      <c r="A19" s="9">
        <v>15</v>
      </c>
      <c r="B19" s="10">
        <v>2.32</v>
      </c>
      <c r="C19" s="10">
        <v>2.03</v>
      </c>
    </row>
    <row r="20" ht="16" customHeight="1" spans="1:7" x14ac:dyDescent="0.25">
      <c r="A20" s="9">
        <v>16</v>
      </c>
      <c r="B20" s="10">
        <v>1.58</v>
      </c>
      <c r="C20" s="10">
        <v>2.38</v>
      </c>
      <c r="E20" s="18" t="s">
        <v>36</v>
      </c>
      <c r="F20" s="18"/>
      <c r="G20" s="18"/>
    </row>
    <row r="21" spans="1:7" x14ac:dyDescent="0.25">
      <c r="A21" s="9">
        <v>17</v>
      </c>
      <c r="B21" s="10">
        <v>2.04</v>
      </c>
      <c r="C21" s="10">
        <v>2.18</v>
      </c>
      <c r="E21" s="18"/>
      <c r="F21" s="18"/>
      <c r="G21" s="18"/>
    </row>
    <row r="22" spans="1:7" x14ac:dyDescent="0.25">
      <c r="A22" s="9">
        <v>18</v>
      </c>
      <c r="B22" s="10">
        <v>2.56</v>
      </c>
      <c r="C22" s="10">
        <v>1.53</v>
      </c>
      <c r="E22" s="18"/>
      <c r="F22" s="18"/>
      <c r="G22" s="18"/>
    </row>
    <row r="23" spans="1:7" x14ac:dyDescent="0.25">
      <c r="A23" s="9">
        <v>19</v>
      </c>
      <c r="B23" s="10">
        <v>1.76</v>
      </c>
      <c r="C23" s="10">
        <v>1.58</v>
      </c>
      <c r="E23" s="18"/>
      <c r="F23" s="18"/>
      <c r="G23" s="18"/>
    </row>
    <row r="24" spans="1:7" x14ac:dyDescent="0.25">
      <c r="A24" s="9">
        <v>20</v>
      </c>
      <c r="B24" s="10">
        <v>2.53</v>
      </c>
      <c r="C24" s="10">
        <v>2.56</v>
      </c>
      <c r="E24" s="18"/>
      <c r="F24" s="18"/>
      <c r="G24" s="18"/>
    </row>
    <row r="25" spans="1:3" x14ac:dyDescent="0.25">
      <c r="A25" s="9">
        <v>21</v>
      </c>
      <c r="B25" s="10">
        <v>2.51</v>
      </c>
      <c r="C25" s="10">
        <v>1.54</v>
      </c>
    </row>
    <row r="26" spans="1:3" x14ac:dyDescent="0.25">
      <c r="A26" s="9">
        <v>22</v>
      </c>
      <c r="B26" s="10">
        <v>1.93</v>
      </c>
      <c r="C26" s="10">
        <v>2.05</v>
      </c>
    </row>
    <row r="27" spans="1:3" x14ac:dyDescent="0.25">
      <c r="A27" s="9">
        <v>23</v>
      </c>
      <c r="B27" s="10">
        <v>2.6</v>
      </c>
      <c r="C27" s="10">
        <v>2.36</v>
      </c>
    </row>
    <row r="28" spans="1:3" x14ac:dyDescent="0.25">
      <c r="A28" s="9">
        <v>24</v>
      </c>
      <c r="B28" s="10">
        <v>2.29</v>
      </c>
      <c r="C28" s="10">
        <v>2.4</v>
      </c>
    </row>
    <row r="29" spans="1:3" x14ac:dyDescent="0.25">
      <c r="A29" s="9">
        <v>25</v>
      </c>
      <c r="B29" s="10">
        <v>1.89</v>
      </c>
      <c r="C29" s="10">
        <v>1.94</v>
      </c>
    </row>
    <row r="30" spans="1:3" x14ac:dyDescent="0.25">
      <c r="A30" s="9">
        <v>26</v>
      </c>
      <c r="B30" s="10">
        <v>2.58</v>
      </c>
      <c r="C30" s="10">
        <v>2.19</v>
      </c>
    </row>
    <row r="31" spans="1:3" x14ac:dyDescent="0.25">
      <c r="A31" s="9">
        <v>27</v>
      </c>
      <c r="B31" s="10">
        <v>2.07</v>
      </c>
      <c r="C31" s="10">
        <v>1.98</v>
      </c>
    </row>
    <row r="32" spans="1:3" x14ac:dyDescent="0.25">
      <c r="A32" s="9">
        <v>28</v>
      </c>
      <c r="B32" s="10">
        <v>2.01</v>
      </c>
      <c r="C32" s="10">
        <v>2.38</v>
      </c>
    </row>
    <row r="33" spans="1:3" x14ac:dyDescent="0.25">
      <c r="A33" s="9">
        <v>29</v>
      </c>
      <c r="B33" s="10">
        <v>1.78</v>
      </c>
      <c r="C33" s="10">
        <v>2.46</v>
      </c>
    </row>
    <row r="34" spans="1:3" x14ac:dyDescent="0.25">
      <c r="A34" s="9">
        <v>30</v>
      </c>
      <c r="B34" s="10">
        <v>1.67</v>
      </c>
      <c r="C34" s="10">
        <v>1.85</v>
      </c>
    </row>
  </sheetData>
  <mergeCells count="1">
    <mergeCell ref="E20:G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Léeme</vt:lpstr>
      <vt:lpstr>Ensayo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Ensayo del alimento</dc:title>
  <dc:subject/>
  <dc:description/>
  <cp:keywords/>
  <cp:category/>
  <cp:lastModifiedBy>Unknown</cp:lastModifiedBy>
  <dcterms:created xsi:type="dcterms:W3CDTF">2026-09-19T13:43:36Z</dcterms:created>
  <dcterms:modified xsi:type="dcterms:W3CDTF">2026-09-19T13:43:36Z</dcterms:modified>
</cp:coreProperties>
</file>