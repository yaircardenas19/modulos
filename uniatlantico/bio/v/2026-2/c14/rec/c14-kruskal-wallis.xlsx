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Tres dietas" state="visible" r:id="rId5"/>
  </sheets>
  <calcPr calcId="171027" fullCalcOnLoad="1"/>
</workbook>
</file>

<file path=xl/sharedStrings.xml><?xml version="1.0" encoding="utf-8"?>
<sst xmlns="http://schemas.openxmlformats.org/spreadsheetml/2006/main" count="57" uniqueCount="39">
  <si>
    <t>Capítulo 14 · Cuando no se puede suponer nada</t>
  </si>
  <si>
    <t>Hoja del QR de recursos · Módulo de Bioestadística · Semestre 2026-2</t>
  </si>
  <si>
    <t>Qué trae este libro</t>
  </si>
  <si>
    <t>Tres dietas</t>
  </si>
  <si>
    <t>Mortalidad diaria de tres dietas durante seis días, con los rangos y la prueba completa.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</si>
  <si>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</si>
  <si>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</si>
  <si>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</si>
  <si>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</si>
  <si>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</si>
  <si>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</si>
  <si>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=JERARQUIA.MEDIA(x;rango;1)</t>
  </si>
  <si>
    <t>el puesto de x, de menor a mayor, con los empates promediados</t>
  </si>
  <si>
    <t>=SUMAR.SI(rango;"A";rangos)</t>
  </si>
  <si>
    <t>la suma de los rangos de la dieta A</t>
  </si>
  <si>
    <t>=DISTR.CHICUAD.CD(H;gl)</t>
  </si>
  <si>
    <t>el valor p</t>
  </si>
  <si>
    <t>Si tu Excel está en inglés, las funciones aparecen con su nombre en inglés. Es la misma fórmula.</t>
  </si>
  <si>
    <t>¿Alguna dieta se comporta distinto?</t>
  </si>
  <si>
    <t>Muertos por día en tres estanques iguales, seis días cada uno. El día 5 de la dieta C falló el aireador.</t>
  </si>
  <si>
    <t>Dieta</t>
  </si>
  <si>
    <t>Muertos</t>
  </si>
  <si>
    <t>Rango</t>
  </si>
  <si>
    <t>Por dieta</t>
  </si>
  <si>
    <t>A</t>
  </si>
  <si>
    <t>B</t>
  </si>
  <si>
    <t>C</t>
  </si>
  <si>
    <t>n</t>
  </si>
  <si>
    <t>Suma de rangos R</t>
  </si>
  <si>
    <t>Rango medio</t>
  </si>
  <si>
    <t>R² / n</t>
  </si>
  <si>
    <t>N (todos los datos)</t>
  </si>
  <si>
    <t>Comprobación: suma de todos los rangos = N(N+1)/2</t>
  </si>
  <si>
    <t>H = 12/(N(N+1)) · Σ(R²/n) − 3(N+1)</t>
  </si>
  <si>
    <t>gl = k − 1 (k = número de grupos)</t>
  </si>
  <si>
    <t>H crítico del 5 %</t>
  </si>
  <si>
    <t>Valor p</t>
  </si>
  <si>
    <t>Decisión</t>
  </si>
  <si>
    <t>Prueba esto: cambia el 24 por 240. El promedio de la dieta C se dispara, pero su rango no cambia —sigue siendo el más alto— y H queda exactamente igual. Ahí está toda la idea del capítulo. Y los grados de libertad son k − 1 = 2, no N − 1: es el error 5 del bloque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</si>
</sst>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6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164" fontId="3" fillId="3" borderId="1" xfId="0" applyNumberFormat="1" applyFont="1" applyFill="1" applyBorder="1"/>
    <xf numFmtId="2" fontId="0" fillId="0" borderId="1" xfId="0" applyNumberFormat="1" applyBorder="1"/>
    <xf numFmtId="2" fontId="3" fillId="3" borderId="1" xfId="0" applyNumberFormat="1" applyFont="1" applyFill="1" applyBorder="1"/>
    <xf numFmtId="165" fontId="3" fillId="3" borderId="1" xfId="0" applyNumberFormat="1" applyFont="1" applyFill="1" applyBorder="1"/>
    <xf numFmtId="0" fontId="3" fillId="3" borderId="1" xfId="0" applyFont="1" applyFill="1" applyBorder="1"/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7" spans="1:1" x14ac:dyDescent="0.25">
      <c r="A7" s="3" t="s">
        <v>5</v>
      </c>
    </row>
    <row r="8" spans="1:2" x14ac:dyDescent="0.25">
      <c r="A8" s="5" t="s">
        <v>6</v>
      </c>
      <c r="B8" t="s">
        <v>7</v>
      </c>
    </row>
    <row r="9" spans="1:2" x14ac:dyDescent="0.25">
      <c r="A9" s="6" t="s">
        <v>8</v>
      </c>
      <c r="B9" t="s">
        <v>9</v>
      </c>
    </row>
    <row r="11" spans="1:1" x14ac:dyDescent="0.25">
      <c r="A11" s="3" t="s">
        <v>10</v>
      </c>
    </row>
    <row r="12" spans="1:2" x14ac:dyDescent="0.25">
      <c r="A12" s="7" t="s">
        <v>11</v>
      </c>
      <c r="B12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6" outlineLevelRow="0" outlineLevelCol="0" x14ac:dyDescent="55" customHeight="1"/>
  <cols>
    <col min="1" max="1" width="10" customWidth="1"/>
    <col min="2" max="2" width="12" customWidth="1"/>
    <col min="3" max="3" width="10" customWidth="1"/>
    <col min="4" max="4" width="4" customWidth="1"/>
    <col min="5" max="5" width="36" customWidth="1"/>
    <col min="6" max="8" width="12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spans="1:8" x14ac:dyDescent="0.25">
      <c r="A4" s="8" t="s">
        <v>20</v>
      </c>
      <c r="B4" s="8" t="s">
        <v>21</v>
      </c>
      <c r="C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</row>
    <row r="5" spans="1:8" x14ac:dyDescent="0.25">
      <c r="A5" s="9" t="s">
        <v>24</v>
      </c>
      <c r="B5" s="10">
        <v>2</v>
      </c>
      <c r="C5" s="11">
        <f>_xlfn.RANK.AVG(B5,$B$5:$B$22,1)</f>
        <v>2.5</v>
      </c>
      <c r="E5" t="s">
        <v>27</v>
      </c>
      <c r="F5" s="9">
        <f>COUNTIF($A$5:$A$22,"A")</f>
        <v>6</v>
      </c>
      <c r="G5" s="9">
        <f>COUNTIF($A$5:$A$22,"B")</f>
        <v>6</v>
      </c>
      <c r="H5" s="9">
        <f>COUNTIF($A$5:$A$22,"C")</f>
        <v>6</v>
      </c>
    </row>
    <row r="6" spans="1:8" x14ac:dyDescent="0.25">
      <c r="A6" s="9" t="s">
        <v>24</v>
      </c>
      <c r="B6" s="10">
        <v>3</v>
      </c>
      <c r="C6" s="11">
        <f>_xlfn.RANK.AVG(B6,$B$5:$B$22,1)</f>
        <v>4.5</v>
      </c>
      <c r="E6" t="s">
        <v>28</v>
      </c>
      <c r="F6" s="12">
        <f>SUMIF($A$5:$A$22,"A",$C$5:$C$22)</f>
        <v>21.5</v>
      </c>
      <c r="G6" s="12">
        <f>SUMIF($A$5:$A$22,"B",$C$5:$C$22)</f>
        <v>56.5</v>
      </c>
      <c r="H6" s="12">
        <f>SUMIF($A$5:$A$22,"C",$C$5:$C$22)</f>
        <v>93</v>
      </c>
    </row>
    <row r="7" spans="1:8" x14ac:dyDescent="0.25">
      <c r="A7" s="9" t="s">
        <v>24</v>
      </c>
      <c r="B7" s="10">
        <v>1</v>
      </c>
      <c r="C7" s="11">
        <f>_xlfn.RANK.AVG(B7,$B$5:$B$22,1)</f>
        <v>1</v>
      </c>
      <c r="E7" t="s">
        <v>29</v>
      </c>
      <c r="F7" s="11">
        <f>F6/F5</f>
        <v>3.5833333333333335</v>
      </c>
      <c r="G7" s="11">
        <f>G6/G5</f>
        <v>9.416666666666666</v>
      </c>
      <c r="H7" s="11">
        <f>H6/H5</f>
        <v>15.5</v>
      </c>
    </row>
    <row r="8" spans="1:8" x14ac:dyDescent="0.25">
      <c r="A8" s="9" t="s">
        <v>24</v>
      </c>
      <c r="B8" s="10">
        <v>4</v>
      </c>
      <c r="C8" s="11">
        <f>_xlfn.RANK.AVG(B8,$B$5:$B$22,1)</f>
        <v>6.5</v>
      </c>
      <c r="E8" t="s">
        <v>30</v>
      </c>
      <c r="F8" s="13">
        <f>F6^2/F5</f>
        <v>77.04166666666667</v>
      </c>
      <c r="G8" s="13">
        <f>G6^2/G5</f>
        <v>532.0416666666666</v>
      </c>
      <c r="H8" s="13">
        <f>H6^2/H5</f>
        <v>1441.5</v>
      </c>
    </row>
    <row r="9" spans="1:3" x14ac:dyDescent="0.25">
      <c r="A9" s="9" t="s">
        <v>24</v>
      </c>
      <c r="B9" s="10">
        <v>2</v>
      </c>
      <c r="C9" s="11">
        <f>_xlfn.RANK.AVG(B9,$B$5:$B$22,1)</f>
        <v>2.5</v>
      </c>
    </row>
    <row r="10" spans="1:6" x14ac:dyDescent="0.25">
      <c r="A10" s="9" t="s">
        <v>24</v>
      </c>
      <c r="B10" s="10">
        <v>3</v>
      </c>
      <c r="C10" s="11">
        <f>_xlfn.RANK.AVG(B10,$B$5:$B$22,1)</f>
        <v>4.5</v>
      </c>
      <c r="E10" t="s">
        <v>31</v>
      </c>
      <c r="F10" s="9">
        <f>COUNT(B5:B22)</f>
        <v>18</v>
      </c>
    </row>
    <row r="11" spans="1:7" x14ac:dyDescent="0.25">
      <c r="A11" s="9" t="s">
        <v>25</v>
      </c>
      <c r="B11" s="10">
        <v>5</v>
      </c>
      <c r="C11" s="11">
        <f>_xlfn.RANK.AVG(B11,$B$5:$B$22,1)</f>
        <v>8.5</v>
      </c>
      <c r="E11" t="s">
        <v>32</v>
      </c>
      <c r="F11" s="9">
        <f>SUM(C5:C22)</f>
        <v>171</v>
      </c>
      <c r="G11" s="9">
        <f>F10*(F10+1)/2</f>
        <v>171</v>
      </c>
    </row>
    <row r="12" spans="1:6" x14ac:dyDescent="0.25">
      <c r="A12" s="9" t="s">
        <v>25</v>
      </c>
      <c r="B12" s="10">
        <v>6</v>
      </c>
      <c r="C12" s="11">
        <f>_xlfn.RANK.AVG(B12,$B$5:$B$22,1)</f>
        <v>10.5</v>
      </c>
      <c r="E12" t="s">
        <v>33</v>
      </c>
      <c r="F12" s="14">
        <f>12/(F10*(F10+1))*SUM(F8:H8)-3*(F10+1)</f>
        <v>14.950292397660803</v>
      </c>
    </row>
    <row r="13" spans="1:6" x14ac:dyDescent="0.25">
      <c r="A13" s="9" t="s">
        <v>25</v>
      </c>
      <c r="B13" s="10">
        <v>4</v>
      </c>
      <c r="C13" s="11">
        <f>_xlfn.RANK.AVG(B13,$B$5:$B$22,1)</f>
        <v>6.5</v>
      </c>
      <c r="E13" t="s">
        <v>34</v>
      </c>
      <c r="F13" s="9">
        <f>3-1</f>
        <v>2</v>
      </c>
    </row>
    <row r="14" spans="1:6" x14ac:dyDescent="0.25">
      <c r="A14" s="9" t="s">
        <v>25</v>
      </c>
      <c r="B14" s="10">
        <v>7</v>
      </c>
      <c r="C14" s="11">
        <f>_xlfn.RANK.AVG(B14,$B$5:$B$22,1)</f>
        <v>12</v>
      </c>
      <c r="E14" t="s">
        <v>35</v>
      </c>
      <c r="F14" s="13">
        <f>_xlfn.CHISQ.INV.RT(0.05,F13)</f>
        <v>5.991464547107979</v>
      </c>
    </row>
    <row r="15" spans="1:6" x14ac:dyDescent="0.25">
      <c r="A15" s="9" t="s">
        <v>25</v>
      </c>
      <c r="B15" s="10">
        <v>5</v>
      </c>
      <c r="C15" s="11">
        <f>_xlfn.RANK.AVG(B15,$B$5:$B$22,1)</f>
        <v>8.5</v>
      </c>
      <c r="E15" t="s">
        <v>36</v>
      </c>
      <c r="F15" s="15">
        <f>_xlfn.CHISQ.DIST.RT(F12,F13)</f>
        <v>0.000567002866422528</v>
      </c>
    </row>
    <row r="16" spans="1:6" x14ac:dyDescent="0.25">
      <c r="A16" s="9" t="s">
        <v>25</v>
      </c>
      <c r="B16" s="10">
        <v>6</v>
      </c>
      <c r="C16" s="11">
        <f>_xlfn.RANK.AVG(B16,$B$5:$B$22,1)</f>
        <v>10.5</v>
      </c>
      <c r="E16" t="s">
        <v>37</v>
      </c>
      <c r="F16" s="16" t="str">
        <f>IF(F12&gt;F14,"se rechaza H₀","no se rechaza H₀")</f>
        <v>se rechaza H₀</v>
      </c>
    </row>
    <row r="17" spans="1:3" x14ac:dyDescent="0.25">
      <c r="A17" s="9" t="s">
        <v>26</v>
      </c>
      <c r="B17" s="10">
        <v>9</v>
      </c>
      <c r="C17" s="11">
        <f>_xlfn.RANK.AVG(B17,$B$5:$B$22,1)</f>
        <v>14</v>
      </c>
    </row>
    <row r="18" ht="16" customHeight="1" spans="1:8" x14ac:dyDescent="0.25">
      <c r="A18" s="9" t="s">
        <v>26</v>
      </c>
      <c r="B18" s="10">
        <v>12</v>
      </c>
      <c r="C18" s="11">
        <f>_xlfn.RANK.AVG(B18,$B$5:$B$22,1)</f>
        <v>16</v>
      </c>
      <c r="E18" s="17" t="s">
        <v>38</v>
      </c>
      <c r="F18" s="17"/>
      <c r="G18" s="17"/>
      <c r="H18" s="17"/>
    </row>
    <row r="19" spans="1:8" x14ac:dyDescent="0.25">
      <c r="A19" s="9" t="s">
        <v>26</v>
      </c>
      <c r="B19" s="10">
        <v>8</v>
      </c>
      <c r="C19" s="11">
        <f>_xlfn.RANK.AVG(B19,$B$5:$B$22,1)</f>
        <v>13</v>
      </c>
      <c r="E19" s="17"/>
      <c r="F19" s="17"/>
      <c r="G19" s="17"/>
      <c r="H19" s="17"/>
    </row>
    <row r="20" spans="1:8" x14ac:dyDescent="0.25">
      <c r="A20" s="9" t="s">
        <v>26</v>
      </c>
      <c r="B20" s="10">
        <v>15</v>
      </c>
      <c r="C20" s="11">
        <f>_xlfn.RANK.AVG(B20,$B$5:$B$22,1)</f>
        <v>17</v>
      </c>
      <c r="E20" s="17"/>
      <c r="F20" s="17"/>
      <c r="G20" s="17"/>
      <c r="H20" s="17"/>
    </row>
    <row r="21" spans="1:8" x14ac:dyDescent="0.25">
      <c r="A21" s="9" t="s">
        <v>26</v>
      </c>
      <c r="B21" s="10">
        <v>24</v>
      </c>
      <c r="C21" s="11">
        <f>_xlfn.RANK.AVG(B21,$B$5:$B$22,1)</f>
        <v>18</v>
      </c>
      <c r="E21" s="17"/>
      <c r="F21" s="17"/>
      <c r="G21" s="17"/>
      <c r="H21" s="17"/>
    </row>
    <row r="22" spans="1:8" x14ac:dyDescent="0.25">
      <c r="A22" s="9" t="s">
        <v>26</v>
      </c>
      <c r="B22" s="10">
        <v>11</v>
      </c>
      <c r="C22" s="11">
        <f>_xlfn.RANK.AVG(B22,$B$5:$B$22,1)</f>
        <v>15</v>
      </c>
      <c r="E22" s="17"/>
      <c r="F22" s="17"/>
      <c r="G22" s="17"/>
      <c r="H22" s="17"/>
    </row>
  </sheetData>
  <mergeCells count="1">
    <mergeCell ref="E18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Léeme</vt:lpstr>
      <vt:lpstr>Tres dietas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Kruskal-Wallis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