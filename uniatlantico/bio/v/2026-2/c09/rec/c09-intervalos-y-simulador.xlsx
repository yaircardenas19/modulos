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éeme" state="visible" r:id="rId4"/>
    <sheet sheetId="2" name="Intervalo" state="visible" r:id="rId5"/>
    <sheet sheetId="3" name="Veinte promedios" state="visible" r:id="rId6"/>
    <sheet sheetId="4" name="Simulador" state="visible" r:id="rId7"/>
  </sheets>
  <calcPr calcId="171027" fullCalcOnLoad="1"/>
</workbook>
</file>

<file path=xl/sharedStrings.xml><?xml version="1.0" encoding="utf-8"?>
<sst xmlns="http://schemas.openxmlformats.org/spreadsheetml/2006/main" count="78" uniqueCount="75">
  <si>
    <t>Capítulo 9 · De la muestra al parámetro</t>
  </si>
  <si>
    <t>Hoja del QR de recursos · Módulo de Bioestadística · Semestre 2026-2</t>
  </si>
  <si>
    <t>Qué trae este libro</t>
  </si>
  <si>
    <t>Intervalo</t>
  </si>
  <si>
    <t>El intervalo del 95 % para el peso promedio del estanque.</t>
  </si>
  <si>
    <t>Veinte promedios</t>
  </si>
  <si>
    <t>Los 20 promedios del bloque 4: cuánto varían comparados con los peces.</t>
  </si>
  <si>
    <t>Simulador</t>
  </si>
  <si>
    <t>20 muestras de 40 peces sacadas al azar. Oprime F9 y cuenta cuántos intervalos atrapan el promedio verdadero.</t>
  </si>
  <si>
    <t>Los colores</t>
  </si>
  <si>
    <t>Amarillo</t>
  </si>
  <si>
    <t>Datos que puedes cambiar. Cambia uno y mira qué pasa con lo demás.</t>
  </si>
  <si>
    <t>Verde</t>
  </si>
  <si>
    <t>Resultados que se calculan solos. No los escribas encima: tienen fórmula.</t>
  </si>
  <si>
    <t>Las fórmulas, como se escriben en tu Excel</t>
  </si>
  <si>
    <t>=INTERVALO.CONFIANZA.NORM(α;σ;n)</t>
  </si>
  <si>
    <t>el margen de error: z·σ/√n</t>
  </si>
  <si>
    <t>=INV.NORM.ESTAND(0,975)</t>
  </si>
  <si>
    <t>el 1,96 del 95 %</t>
  </si>
  <si>
    <t>=INV.NORM(ALEATORIO();μ;σ)</t>
  </si>
  <si>
    <t>un pez al azar de un estanque normal</t>
  </si>
  <si>
    <t>Si tu Excel está en inglés, las funciones aparecen con su nombre en inglés. Es la misma fórmula.</t>
  </si>
  <si>
    <t>De la muestra al parámetro</t>
  </si>
  <si>
    <t>Biometría de 40 peces: promedio 391,4 g.</t>
  </si>
  <si>
    <t>Promedio de la muestra x̄ (g)</t>
  </si>
  <si>
    <t>El 95 % no es la probabilidad de que el promedio del estanque esté en este intervalo: ese promedio está o no está. Es la proporción de intervalos que atrapan al verdadero cuando el procedimiento se repite muchas veces. Compruébalo en la hoja Simulador.</t>
  </si>
  <si>
    <t>Desviación σ (g)</t>
  </si>
  <si>
    <t>n (peces pesados)</t>
  </si>
  <si>
    <t>Confianza</t>
  </si>
  <si>
    <t>z de esa confianza</t>
  </si>
  <si>
    <t>Error estándar: σ/√n</t>
  </si>
  <si>
    <t>Margen de error</t>
  </si>
  <si>
    <t>Desde</t>
  </si>
  <si>
    <t>Hasta</t>
  </si>
  <si>
    <t>Veinte muestras del mismo estanque</t>
  </si>
  <si>
    <t>Los 20 promedios del bloque 4, cada uno de 40 peces.</t>
  </si>
  <si>
    <t>Muestra</t>
  </si>
  <si>
    <t>Promedio (g)</t>
  </si>
  <si>
    <t>Promedio más chico</t>
  </si>
  <si>
    <t>Promedio más grande</t>
  </si>
  <si>
    <t>Rango de los promedios</t>
  </si>
  <si>
    <t>Rango de los peces (de 344 a 480 g)</t>
  </si>
  <si>
    <t>¿Cuántas veces más ancho es el de los peces?</t>
  </si>
  <si>
    <t>Simulador: 20 muestras de 40 peces</t>
  </si>
  <si>
    <t>Oprime F9: salen otras 20. Cada columna es una biometría.</t>
  </si>
  <si>
    <t>Promedio verdadero μ</t>
  </si>
  <si>
    <t>σ</t>
  </si>
  <si>
    <t>Peces por muestra: 40</t>
  </si>
  <si>
    <t>Pez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</si>
  <si>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</si>
  <si>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</si>
  <si>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</si>
  <si>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</si>
  <si>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</si>
  <si>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</si>
  <si>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</si>
  <si>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</si>
  <si>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</si>
  <si>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</si>
  <si>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</si>
  <si>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</si>
  <si>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</si>
  <si>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</si>
  <si>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</si>
  <si>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</si>
  <si>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</si>
  <si>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</si>
  <si>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</si>
  <si>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</si>
  <si>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Promedio</t>
  </si>
  <si>
    <t>Margen</t>
  </si>
  <si>
    <t>¿Atrapa a μ?</t>
  </si>
  <si>
    <t>Intervalos que atrapan a μ:</t>
  </si>
  <si>
    <t>de 20</t>
  </si>
  <si>
    <t>Oprime F9 varias veces y anota cuántos de 20 atrapan a μ. Casi siempre salen 18, 19 o 20; a veces 17. En promedio, 19 de cada 20: eso —y no otra cosa— es lo que significa «95 % de confianza». Aquí puedes ver μ porque tú lo escogiste; en el estanque de verdad nunca se 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</si>
</sst>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7" x14ac:knownFonts="1">
    <font>
      <color theme="1"/>
      <family val="2"/>
      <scheme val="minor"/>
      <sz val="11"/>
      <name val="Calibri"/>
    </font>
    <font>
      <b/>
      <color rgb="FF1F2A2E"/>
      <sz val="14"/>
    </font>
    <font>
      <i/>
      <color rgb="FF5E6B70"/>
    </font>
    <font>
      <b/>
    </font>
    <font>
      <name val="Consolas"/>
    </font>
    <font>
      <color rgb="FF1F2A2E"/>
    </font>
    <font>
      <i/>
      <color rgb="FF1F2A2E"/>
    </font>
  </fonts>
  <fills count="6">
    <fill>
      <patternFill patternType="none"/>
    </fill>
    <fill>
      <patternFill patternType="gray125"/>
    </fill>
    <fill>
      <patternFill patternType="solid">
        <fgColor rgb="FFFFF1C9"/>
      </patternFill>
    </fill>
    <fill>
      <patternFill patternType="solid">
        <fgColor rgb="FFDCEFE3"/>
      </patternFill>
    </fill>
    <fill>
      <patternFill patternType="solid">
        <fgColor rgb="FFFBE3DA"/>
      </patternFill>
    </fill>
    <fill>
      <patternFill patternType="solid">
        <fgColor rgb="FFEDEAE0"/>
      </patternFill>
    </fill>
  </fills>
  <borders count="2">
    <border>
      <left/>
      <right/>
      <top/>
      <bottom/>
      <diagonal/>
    </border>
    <border>
      <left style="thin">
        <color rgb="FFBDB6A5"/>
      </left>
      <right style="thin">
        <color rgb="FFBDB6A5"/>
      </right>
      <top style="thin">
        <color rgb="FFBDB6A5"/>
      </top>
      <bottom style="thin">
        <color rgb="FFBDB6A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4" fillId="0" borderId="0" xfId="0" applyFont="1"/>
    <xf numFmtId="164" fontId="0" fillId="2" borderId="1" xfId="0" applyNumberFormat="1" applyFill="1" applyBorder="1"/>
    <xf numFmtId="0" fontId="5" fillId="4" borderId="0" xfId="0" applyFont="1" applyFill="1" applyAlignment="1">
      <alignment vertical="top" wrapText="1"/>
    </xf>
    <xf numFmtId="0" fontId="0" fillId="2" borderId="1" xfId="0" applyFill="1" applyBorder="1"/>
    <xf numFmtId="9" fontId="0" fillId="2" borderId="1" xfId="0" applyNumberFormat="1" applyFill="1" applyBorder="1"/>
    <xf numFmtId="165" fontId="0" fillId="0" borderId="1" xfId="0" applyNumberFormat="1" applyBorder="1"/>
    <xf numFmtId="2" fontId="0" fillId="0" borderId="1" xfId="0" applyNumberFormat="1" applyBorder="1"/>
    <xf numFmtId="2" fontId="3" fillId="3" borderId="1" xfId="0" applyNumberFormat="1" applyFont="1" applyFill="1" applyBorder="1"/>
    <xf numFmtId="164" fontId="3" fillId="3" borderId="1" xfId="0" applyNumberFormat="1" applyFont="1" applyFill="1" applyBorder="1"/>
    <xf numFmtId="0" fontId="3" fillId="5" borderId="1" xfId="0" applyFont="1" applyFill="1" applyBorder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0" fontId="3" fillId="3" borderId="1" xfId="0" applyFont="1" applyFill="1" applyBorder="1"/>
    <xf numFmtId="1" fontId="3" fillId="3" borderId="1" xfId="0" applyNumberFormat="1" applyFont="1" applyFill="1" applyBorder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6" outlineLevelRow="0" outlineLevelCol="0" x14ac:dyDescent="55" customHeight="1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s="3" t="s">
        <v>3</v>
      </c>
      <c r="B5" s="4" t="s">
        <v>4</v>
      </c>
    </row>
    <row r="6" spans="1:2" x14ac:dyDescent="0.25">
      <c r="A6" s="3" t="s">
        <v>5</v>
      </c>
      <c r="B6" s="4" t="s">
        <v>6</v>
      </c>
    </row>
    <row r="7" spans="1:2" x14ac:dyDescent="0.25">
      <c r="A7" s="3" t="s">
        <v>7</v>
      </c>
      <c r="B7" s="4" t="s">
        <v>8</v>
      </c>
    </row>
    <row r="9" spans="1:1" x14ac:dyDescent="0.25">
      <c r="A9" s="3" t="s">
        <v>9</v>
      </c>
    </row>
    <row r="10" spans="1:2" x14ac:dyDescent="0.25">
      <c r="A10" s="5" t="s">
        <v>10</v>
      </c>
      <c r="B10" t="s">
        <v>11</v>
      </c>
    </row>
    <row r="11" spans="1:2" x14ac:dyDescent="0.25">
      <c r="A11" s="6" t="s">
        <v>12</v>
      </c>
      <c r="B11" t="s">
        <v>13</v>
      </c>
    </row>
    <row r="13" spans="1:1" x14ac:dyDescent="0.25">
      <c r="A13" s="3" t="s">
        <v>14</v>
      </c>
    </row>
    <row r="14" spans="1:2" x14ac:dyDescent="0.25">
      <c r="A14" s="7" t="s">
        <v>15</v>
      </c>
      <c r="B14" t="s">
        <v>16</v>
      </c>
    </row>
    <row r="15" spans="1:2" x14ac:dyDescent="0.25">
      <c r="A15" s="7" t="s">
        <v>17</v>
      </c>
      <c r="B15" t="s">
        <v>18</v>
      </c>
    </row>
    <row r="16" spans="1:2" x14ac:dyDescent="0.25">
      <c r="A16" s="7" t="s">
        <v>19</v>
      </c>
      <c r="B16" t="s">
        <v>20</v>
      </c>
    </row>
    <row r="18" spans="1:1" x14ac:dyDescent="0.25">
      <c r="A18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6" outlineLevelRow="0" outlineLevelCol="0" x14ac:dyDescent="55" customHeight="1"/>
  <cols>
    <col min="1" max="1" width="40" customWidth="1"/>
    <col min="2" max="2" width="14" customWidth="1"/>
    <col min="3" max="3" width="4" customWidth="1"/>
    <col min="4" max="4" width="40" customWidth="1"/>
  </cols>
  <sheetData>
    <row r="1" spans="1:1" x14ac:dyDescent="0.25">
      <c r="A1" s="1" t="s">
        <v>22</v>
      </c>
    </row>
    <row r="2" spans="1:1" x14ac:dyDescent="0.25">
      <c r="A2" s="2" t="s">
        <v>23</v>
      </c>
    </row>
    <row r="4" ht="16" customHeight="1" spans="1:4" x14ac:dyDescent="0.25">
      <c r="A4" t="s">
        <v>24</v>
      </c>
      <c r="B4" s="8">
        <v>391.4</v>
      </c>
      <c r="D4" s="9" t="s">
        <v>25</v>
      </c>
    </row>
    <row r="5" spans="1:4" x14ac:dyDescent="0.25">
      <c r="A5" t="s">
        <v>26</v>
      </c>
      <c r="B5" s="10">
        <v>35</v>
      </c>
      <c r="D5" s="9"/>
    </row>
    <row r="6" spans="1:4" x14ac:dyDescent="0.25">
      <c r="A6" t="s">
        <v>27</v>
      </c>
      <c r="B6" s="10">
        <v>40</v>
      </c>
      <c r="D6" s="9"/>
    </row>
    <row r="7" spans="1:4" x14ac:dyDescent="0.25">
      <c r="A7" t="s">
        <v>28</v>
      </c>
      <c r="B7" s="11">
        <v>0.95</v>
      </c>
      <c r="D7" s="9"/>
    </row>
    <row r="8" spans="4:4" x14ac:dyDescent="0.25">
      <c r="D8" s="9"/>
    </row>
    <row r="9" spans="1:4" x14ac:dyDescent="0.25">
      <c r="A9" t="s">
        <v>29</v>
      </c>
      <c r="B9" s="12">
        <f>_xlfn.NORM.S.INV(1-(1-B7)/2)</f>
        <v>1.959963986120195</v>
      </c>
      <c r="D9" s="9"/>
    </row>
    <row r="10" spans="1:2" x14ac:dyDescent="0.25">
      <c r="A10" t="s">
        <v>30</v>
      </c>
      <c r="B10" s="13">
        <f>B5/SQRT(B6)</f>
        <v>5.533985905294664</v>
      </c>
    </row>
    <row r="11" spans="1:2" x14ac:dyDescent="0.25">
      <c r="A11" t="s">
        <v>31</v>
      </c>
      <c r="B11" s="14">
        <f>_xlfn.CONFIDENCE.NORM(1-B7,B5,B6)</f>
        <v>10.846413074074304</v>
      </c>
    </row>
    <row r="12" spans="1:2" x14ac:dyDescent="0.25">
      <c r="A12" t="s">
        <v>32</v>
      </c>
      <c r="B12" s="15">
        <f>B4-B11</f>
        <v>380.5535869259257</v>
      </c>
    </row>
    <row r="13" spans="1:2" x14ac:dyDescent="0.25">
      <c r="A13" t="s">
        <v>33</v>
      </c>
      <c r="B13" s="15">
        <f>B4+B11</f>
        <v>402.24641307407427</v>
      </c>
    </row>
  </sheetData>
  <mergeCells count="1">
    <mergeCell ref="D4:D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6" outlineLevelRow="0" outlineLevelCol="0" x14ac:dyDescent="55" customHeight="1"/>
  <cols>
    <col min="1" max="1" width="10" customWidth="1"/>
    <col min="2" max="2" width="14" customWidth="1"/>
    <col min="3" max="3" width="4" customWidth="1"/>
    <col min="4" max="4" width="44" customWidth="1"/>
    <col min="5" max="5" width="14" customWidth="1"/>
  </cols>
  <sheetData>
    <row r="1" spans="1:1" x14ac:dyDescent="0.25">
      <c r="A1" s="1" t="s">
        <v>34</v>
      </c>
    </row>
    <row r="2" spans="1:1" x14ac:dyDescent="0.25">
      <c r="A2" s="2" t="s">
        <v>35</v>
      </c>
    </row>
    <row r="4" spans="1:2" x14ac:dyDescent="0.25">
      <c r="A4" s="16" t="s">
        <v>36</v>
      </c>
      <c r="B4" s="16" t="s">
        <v>37</v>
      </c>
    </row>
    <row r="5" spans="1:5" x14ac:dyDescent="0.25">
      <c r="A5" s="17">
        <v>1</v>
      </c>
      <c r="B5" s="18">
        <v>391.4</v>
      </c>
      <c r="D5" t="s">
        <v>38</v>
      </c>
      <c r="E5" s="18">
        <f>MIN(B5:B24)</f>
        <v>385.9</v>
      </c>
    </row>
    <row r="6" spans="1:5" x14ac:dyDescent="0.25">
      <c r="A6" s="17">
        <v>2</v>
      </c>
      <c r="B6" s="18">
        <v>396.8</v>
      </c>
      <c r="D6" t="s">
        <v>39</v>
      </c>
      <c r="E6" s="18">
        <f>MAX(B5:B24)</f>
        <v>399.1</v>
      </c>
    </row>
    <row r="7" spans="1:5" x14ac:dyDescent="0.25">
      <c r="A7" s="17">
        <v>3</v>
      </c>
      <c r="B7" s="18">
        <v>388.1</v>
      </c>
      <c r="D7" t="s">
        <v>40</v>
      </c>
      <c r="E7" s="15">
        <f>E6-E5</f>
        <v>13.200000000000045</v>
      </c>
    </row>
    <row r="8" spans="1:5" x14ac:dyDescent="0.25">
      <c r="A8" s="17">
        <v>4</v>
      </c>
      <c r="B8" s="18">
        <v>394.2</v>
      </c>
      <c r="D8" t="s">
        <v>41</v>
      </c>
      <c r="E8" s="19">
        <v>136</v>
      </c>
    </row>
    <row r="9" spans="1:5" x14ac:dyDescent="0.25">
      <c r="A9" s="17">
        <v>5</v>
      </c>
      <c r="B9" s="18">
        <v>386.5</v>
      </c>
      <c r="D9" t="s">
        <v>42</v>
      </c>
      <c r="E9" s="15">
        <f>E8/E7</f>
        <v>10.303030303030267</v>
      </c>
    </row>
    <row r="10" spans="1:2" x14ac:dyDescent="0.25">
      <c r="A10" s="17">
        <v>6</v>
      </c>
      <c r="B10" s="18">
        <v>399.1</v>
      </c>
    </row>
    <row r="11" spans="1:2" x14ac:dyDescent="0.25">
      <c r="A11" s="17">
        <v>7</v>
      </c>
      <c r="B11" s="18">
        <v>392.7</v>
      </c>
    </row>
    <row r="12" spans="1:2" x14ac:dyDescent="0.25">
      <c r="A12" s="17">
        <v>8</v>
      </c>
      <c r="B12" s="18">
        <v>390.3</v>
      </c>
    </row>
    <row r="13" spans="1:2" x14ac:dyDescent="0.25">
      <c r="A13" s="17">
        <v>9</v>
      </c>
      <c r="B13" s="18">
        <v>397.4</v>
      </c>
    </row>
    <row r="14" spans="1:2" x14ac:dyDescent="0.25">
      <c r="A14" s="17">
        <v>10</v>
      </c>
      <c r="B14" s="18">
        <v>385.9</v>
      </c>
    </row>
    <row r="15" spans="1:2" x14ac:dyDescent="0.25">
      <c r="A15" s="17">
        <v>11</v>
      </c>
      <c r="B15" s="18">
        <v>393.6</v>
      </c>
    </row>
    <row r="16" spans="1:2" x14ac:dyDescent="0.25">
      <c r="A16" s="17">
        <v>12</v>
      </c>
      <c r="B16" s="18">
        <v>389.2</v>
      </c>
    </row>
    <row r="17" spans="1:2" x14ac:dyDescent="0.25">
      <c r="A17" s="17">
        <v>13</v>
      </c>
      <c r="B17" s="18">
        <v>395.5</v>
      </c>
    </row>
    <row r="18" spans="1:2" x14ac:dyDescent="0.25">
      <c r="A18" s="17">
        <v>14</v>
      </c>
      <c r="B18" s="18">
        <v>391.8</v>
      </c>
    </row>
    <row r="19" spans="1:2" x14ac:dyDescent="0.25">
      <c r="A19" s="17">
        <v>15</v>
      </c>
      <c r="B19" s="18">
        <v>398.3</v>
      </c>
    </row>
    <row r="20" spans="1:2" x14ac:dyDescent="0.25">
      <c r="A20" s="17">
        <v>16</v>
      </c>
      <c r="B20" s="18">
        <v>387.4</v>
      </c>
    </row>
    <row r="21" spans="1:2" x14ac:dyDescent="0.25">
      <c r="A21" s="17">
        <v>17</v>
      </c>
      <c r="B21" s="18">
        <v>392.1</v>
      </c>
    </row>
    <row r="22" spans="1:2" x14ac:dyDescent="0.25">
      <c r="A22" s="17">
        <v>18</v>
      </c>
      <c r="B22" s="18">
        <v>396</v>
      </c>
    </row>
    <row r="23" spans="1:2" x14ac:dyDescent="0.25">
      <c r="A23" s="17">
        <v>19</v>
      </c>
      <c r="B23" s="18">
        <v>390.7</v>
      </c>
    </row>
    <row r="24" spans="1:2" x14ac:dyDescent="0.25">
      <c r="A24" s="17">
        <v>20</v>
      </c>
      <c r="B24" s="18">
        <v>394.9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8"/>
  <sheetViews>
    <sheetView workbookViewId="0">
      <pane xSplit="1" ySplit="6" topLeftCell="B7" activePane="bottomRight" state="frozen"/>
      <selection pane="bottomRight"/>
    </sheetView>
  </sheetViews>
  <sheetFormatPr defaultRowHeight="16" outlineLevelRow="0" outlineLevelCol="0" x14ac:dyDescent="55" customHeight="1"/>
  <cols>
    <col min="1" max="1" width="16" customWidth="1"/>
    <col min="2" max="21" width="7.5" customWidth="1"/>
  </cols>
  <sheetData>
    <row r="1" spans="1:1" x14ac:dyDescent="0.25">
      <c r="A1" s="1" t="s">
        <v>43</v>
      </c>
    </row>
    <row r="2" spans="1:1" x14ac:dyDescent="0.25">
      <c r="A2" s="2" t="s">
        <v>44</v>
      </c>
    </row>
    <row r="3" spans="1:10" x14ac:dyDescent="0.25">
      <c r="A3" t="s">
        <v>45</v>
      </c>
      <c r="B3" s="10">
        <v>392</v>
      </c>
      <c r="D3" t="s">
        <v>46</v>
      </c>
      <c r="E3" s="10">
        <v>35</v>
      </c>
      <c r="G3" t="s">
        <v>28</v>
      </c>
      <c r="H3" s="11">
        <v>0.95</v>
      </c>
      <c r="J3" t="s">
        <v>47</v>
      </c>
    </row>
    <row r="6" spans="1:21" x14ac:dyDescent="0.25">
      <c r="A6" s="16" t="s">
        <v>48</v>
      </c>
      <c r="B6" s="16" t="s">
        <v>49</v>
      </c>
      <c r="C6" s="16" t="s">
        <v>50</v>
      </c>
      <c r="D6" s="16" t="s">
        <v>51</v>
      </c>
      <c r="E6" s="16" t="s">
        <v>52</v>
      </c>
      <c r="F6" s="16" t="s">
        <v>53</v>
      </c>
      <c r="G6" s="16" t="s">
        <v>54</v>
      </c>
      <c r="H6" s="16" t="s">
        <v>55</v>
      </c>
      <c r="I6" s="16" t="s">
        <v>56</v>
      </c>
      <c r="J6" s="16" t="s">
        <v>57</v>
      </c>
      <c r="K6" s="16" t="s">
        <v>58</v>
      </c>
      <c r="L6" s="16" t="s">
        <v>59</v>
      </c>
      <c r="M6" s="16" t="s">
        <v>60</v>
      </c>
      <c r="N6" s="16" t="s">
        <v>61</v>
      </c>
      <c r="O6" s="16" t="s">
        <v>62</v>
      </c>
      <c r="P6" s="16" t="s">
        <v>63</v>
      </c>
      <c r="Q6" s="16" t="s">
        <v>64</v>
      </c>
      <c r="R6" s="16" t="s">
        <v>65</v>
      </c>
      <c r="S6" s="16" t="s">
        <v>66</v>
      </c>
      <c r="T6" s="16" t="s">
        <v>67</v>
      </c>
      <c r="U6" s="16" t="s">
        <v>68</v>
      </c>
    </row>
    <row r="7" spans="1:21" x14ac:dyDescent="0.25">
      <c r="A7" s="17">
        <v>1</v>
      </c>
      <c r="B7" s="19">
        <f>_xlfn.NORM.INV(RAND(),$B$3,$E$3)</f>
        <v>375</v>
      </c>
      <c r="C7" s="19">
        <f>_xlfn.NORM.INV(RAND(),$B$3,$E$3)</f>
        <v>347</v>
      </c>
      <c r="D7" s="19">
        <f>_xlfn.NORM.INV(RAND(),$B$3,$E$3)</f>
        <v>423</v>
      </c>
      <c r="E7" s="19">
        <f>_xlfn.NORM.INV(RAND(),$B$3,$E$3)</f>
        <v>343</v>
      </c>
      <c r="F7" s="19">
        <f>_xlfn.NORM.INV(RAND(),$B$3,$E$3)</f>
        <v>372</v>
      </c>
      <c r="G7" s="19">
        <f>_xlfn.NORM.INV(RAND(),$B$3,$E$3)</f>
        <v>374</v>
      </c>
      <c r="H7" s="19">
        <f>_xlfn.NORM.INV(RAND(),$B$3,$E$3)</f>
        <v>359</v>
      </c>
      <c r="I7" s="19">
        <f>_xlfn.NORM.INV(RAND(),$B$3,$E$3)</f>
        <v>353</v>
      </c>
      <c r="J7" s="19">
        <f>_xlfn.NORM.INV(RAND(),$B$3,$E$3)</f>
        <v>336</v>
      </c>
      <c r="K7" s="19">
        <f>_xlfn.NORM.INV(RAND(),$B$3,$E$3)</f>
        <v>363</v>
      </c>
      <c r="L7" s="19">
        <f>_xlfn.NORM.INV(RAND(),$B$3,$E$3)</f>
        <v>349</v>
      </c>
      <c r="M7" s="19">
        <f>_xlfn.NORM.INV(RAND(),$B$3,$E$3)</f>
        <v>387</v>
      </c>
      <c r="N7" s="19">
        <f>_xlfn.NORM.INV(RAND(),$B$3,$E$3)</f>
        <v>393</v>
      </c>
      <c r="O7" s="19">
        <f>_xlfn.NORM.INV(RAND(),$B$3,$E$3)</f>
        <v>363</v>
      </c>
      <c r="P7" s="19">
        <f>_xlfn.NORM.INV(RAND(),$B$3,$E$3)</f>
        <v>390</v>
      </c>
      <c r="Q7" s="19">
        <f>_xlfn.NORM.INV(RAND(),$B$3,$E$3)</f>
        <v>369</v>
      </c>
      <c r="R7" s="19">
        <f>_xlfn.NORM.INV(RAND(),$B$3,$E$3)</f>
        <v>380</v>
      </c>
      <c r="S7" s="19">
        <f>_xlfn.NORM.INV(RAND(),$B$3,$E$3)</f>
        <v>414</v>
      </c>
      <c r="T7" s="19">
        <f>_xlfn.NORM.INV(RAND(),$B$3,$E$3)</f>
        <v>381</v>
      </c>
      <c r="U7" s="19">
        <f>_xlfn.NORM.INV(RAND(),$B$3,$E$3)</f>
        <v>358</v>
      </c>
    </row>
    <row r="8" spans="1:21" x14ac:dyDescent="0.25">
      <c r="A8" s="17">
        <v>2</v>
      </c>
      <c r="B8" s="19">
        <f>_xlfn.NORM.INV(RAND(),$B$3,$E$3)</f>
        <v>365</v>
      </c>
      <c r="C8" s="19">
        <f>_xlfn.NORM.INV(RAND(),$B$3,$E$3)</f>
        <v>356</v>
      </c>
      <c r="D8" s="19">
        <f>_xlfn.NORM.INV(RAND(),$B$3,$E$3)</f>
        <v>457</v>
      </c>
      <c r="E8" s="19">
        <f>_xlfn.NORM.INV(RAND(),$B$3,$E$3)</f>
        <v>419</v>
      </c>
      <c r="F8" s="19">
        <f>_xlfn.NORM.INV(RAND(),$B$3,$E$3)</f>
        <v>366</v>
      </c>
      <c r="G8" s="19">
        <f>_xlfn.NORM.INV(RAND(),$B$3,$E$3)</f>
        <v>342</v>
      </c>
      <c r="H8" s="19">
        <f>_xlfn.NORM.INV(RAND(),$B$3,$E$3)</f>
        <v>373</v>
      </c>
      <c r="I8" s="19">
        <f>_xlfn.NORM.INV(RAND(),$B$3,$E$3)</f>
        <v>393</v>
      </c>
      <c r="J8" s="19">
        <f>_xlfn.NORM.INV(RAND(),$B$3,$E$3)</f>
        <v>415</v>
      </c>
      <c r="K8" s="19">
        <f>_xlfn.NORM.INV(RAND(),$B$3,$E$3)</f>
        <v>385</v>
      </c>
      <c r="L8" s="19">
        <f>_xlfn.NORM.INV(RAND(),$B$3,$E$3)</f>
        <v>343</v>
      </c>
      <c r="M8" s="19">
        <f>_xlfn.NORM.INV(RAND(),$B$3,$E$3)</f>
        <v>413</v>
      </c>
      <c r="N8" s="19">
        <f>_xlfn.NORM.INV(RAND(),$B$3,$E$3)</f>
        <v>348</v>
      </c>
      <c r="O8" s="19">
        <f>_xlfn.NORM.INV(RAND(),$B$3,$E$3)</f>
        <v>365</v>
      </c>
      <c r="P8" s="19">
        <f>_xlfn.NORM.INV(RAND(),$B$3,$E$3)</f>
        <v>429</v>
      </c>
      <c r="Q8" s="19">
        <f>_xlfn.NORM.INV(RAND(),$B$3,$E$3)</f>
        <v>389</v>
      </c>
      <c r="R8" s="19">
        <f>_xlfn.NORM.INV(RAND(),$B$3,$E$3)</f>
        <v>410</v>
      </c>
      <c r="S8" s="19">
        <f>_xlfn.NORM.INV(RAND(),$B$3,$E$3)</f>
        <v>411</v>
      </c>
      <c r="T8" s="19">
        <f>_xlfn.NORM.INV(RAND(),$B$3,$E$3)</f>
        <v>390</v>
      </c>
      <c r="U8" s="19">
        <f>_xlfn.NORM.INV(RAND(),$B$3,$E$3)</f>
        <v>430</v>
      </c>
    </row>
    <row r="9" spans="1:21" x14ac:dyDescent="0.25">
      <c r="A9" s="17">
        <v>3</v>
      </c>
      <c r="B9" s="19">
        <f>_xlfn.NORM.INV(RAND(),$B$3,$E$3)</f>
        <v>409</v>
      </c>
      <c r="C9" s="19">
        <f>_xlfn.NORM.INV(RAND(),$B$3,$E$3)</f>
        <v>437</v>
      </c>
      <c r="D9" s="19">
        <f>_xlfn.NORM.INV(RAND(),$B$3,$E$3)</f>
        <v>387</v>
      </c>
      <c r="E9" s="19">
        <f>_xlfn.NORM.INV(RAND(),$B$3,$E$3)</f>
        <v>413</v>
      </c>
      <c r="F9" s="19">
        <f>_xlfn.NORM.INV(RAND(),$B$3,$E$3)</f>
        <v>413</v>
      </c>
      <c r="G9" s="19">
        <f>_xlfn.NORM.INV(RAND(),$B$3,$E$3)</f>
        <v>306</v>
      </c>
      <c r="H9" s="19">
        <f>_xlfn.NORM.INV(RAND(),$B$3,$E$3)</f>
        <v>358</v>
      </c>
      <c r="I9" s="19">
        <f>_xlfn.NORM.INV(RAND(),$B$3,$E$3)</f>
        <v>392</v>
      </c>
      <c r="J9" s="19">
        <f>_xlfn.NORM.INV(RAND(),$B$3,$E$3)</f>
        <v>424</v>
      </c>
      <c r="K9" s="19">
        <f>_xlfn.NORM.INV(RAND(),$B$3,$E$3)</f>
        <v>399</v>
      </c>
      <c r="L9" s="19">
        <f>_xlfn.NORM.INV(RAND(),$B$3,$E$3)</f>
        <v>384</v>
      </c>
      <c r="M9" s="19">
        <f>_xlfn.NORM.INV(RAND(),$B$3,$E$3)</f>
        <v>367</v>
      </c>
      <c r="N9" s="19">
        <f>_xlfn.NORM.INV(RAND(),$B$3,$E$3)</f>
        <v>354</v>
      </c>
      <c r="O9" s="19">
        <f>_xlfn.NORM.INV(RAND(),$B$3,$E$3)</f>
        <v>433</v>
      </c>
      <c r="P9" s="19">
        <f>_xlfn.NORM.INV(RAND(),$B$3,$E$3)</f>
        <v>462</v>
      </c>
      <c r="Q9" s="19">
        <f>_xlfn.NORM.INV(RAND(),$B$3,$E$3)</f>
        <v>400</v>
      </c>
      <c r="R9" s="19">
        <f>_xlfn.NORM.INV(RAND(),$B$3,$E$3)</f>
        <v>466</v>
      </c>
      <c r="S9" s="19">
        <f>_xlfn.NORM.INV(RAND(),$B$3,$E$3)</f>
        <v>366</v>
      </c>
      <c r="T9" s="19">
        <f>_xlfn.NORM.INV(RAND(),$B$3,$E$3)</f>
        <v>421</v>
      </c>
      <c r="U9" s="19">
        <f>_xlfn.NORM.INV(RAND(),$B$3,$E$3)</f>
        <v>377</v>
      </c>
    </row>
    <row r="10" spans="1:21" x14ac:dyDescent="0.25">
      <c r="A10" s="17">
        <v>4</v>
      </c>
      <c r="B10" s="19">
        <f>_xlfn.NORM.INV(RAND(),$B$3,$E$3)</f>
        <v>363</v>
      </c>
      <c r="C10" s="19">
        <f>_xlfn.NORM.INV(RAND(),$B$3,$E$3)</f>
        <v>363</v>
      </c>
      <c r="D10" s="19">
        <f>_xlfn.NORM.INV(RAND(),$B$3,$E$3)</f>
        <v>361</v>
      </c>
      <c r="E10" s="19">
        <f>_xlfn.NORM.INV(RAND(),$B$3,$E$3)</f>
        <v>395</v>
      </c>
      <c r="F10" s="19">
        <f>_xlfn.NORM.INV(RAND(),$B$3,$E$3)</f>
        <v>403</v>
      </c>
      <c r="G10" s="19">
        <f>_xlfn.NORM.INV(RAND(),$B$3,$E$3)</f>
        <v>358</v>
      </c>
      <c r="H10" s="19">
        <f>_xlfn.NORM.INV(RAND(),$B$3,$E$3)</f>
        <v>356</v>
      </c>
      <c r="I10" s="19">
        <f>_xlfn.NORM.INV(RAND(),$B$3,$E$3)</f>
        <v>387</v>
      </c>
      <c r="J10" s="19">
        <f>_xlfn.NORM.INV(RAND(),$B$3,$E$3)</f>
        <v>411</v>
      </c>
      <c r="K10" s="19">
        <f>_xlfn.NORM.INV(RAND(),$B$3,$E$3)</f>
        <v>406</v>
      </c>
      <c r="L10" s="19">
        <f>_xlfn.NORM.INV(RAND(),$B$3,$E$3)</f>
        <v>382</v>
      </c>
      <c r="M10" s="19">
        <f>_xlfn.NORM.INV(RAND(),$B$3,$E$3)</f>
        <v>383</v>
      </c>
      <c r="N10" s="19">
        <f>_xlfn.NORM.INV(RAND(),$B$3,$E$3)</f>
        <v>384</v>
      </c>
      <c r="O10" s="19">
        <f>_xlfn.NORM.INV(RAND(),$B$3,$E$3)</f>
        <v>373</v>
      </c>
      <c r="P10" s="19">
        <f>_xlfn.NORM.INV(RAND(),$B$3,$E$3)</f>
        <v>434</v>
      </c>
      <c r="Q10" s="19">
        <f>_xlfn.NORM.INV(RAND(),$B$3,$E$3)</f>
        <v>423</v>
      </c>
      <c r="R10" s="19">
        <f>_xlfn.NORM.INV(RAND(),$B$3,$E$3)</f>
        <v>399</v>
      </c>
      <c r="S10" s="19">
        <f>_xlfn.NORM.INV(RAND(),$B$3,$E$3)</f>
        <v>379</v>
      </c>
      <c r="T10" s="19">
        <f>_xlfn.NORM.INV(RAND(),$B$3,$E$3)</f>
        <v>383</v>
      </c>
      <c r="U10" s="19">
        <f>_xlfn.NORM.INV(RAND(),$B$3,$E$3)</f>
        <v>379</v>
      </c>
    </row>
    <row r="11" spans="1:21" x14ac:dyDescent="0.25">
      <c r="A11" s="17">
        <v>5</v>
      </c>
      <c r="B11" s="19">
        <f>_xlfn.NORM.INV(RAND(),$B$3,$E$3)</f>
        <v>377</v>
      </c>
      <c r="C11" s="19">
        <f>_xlfn.NORM.INV(RAND(),$B$3,$E$3)</f>
        <v>435</v>
      </c>
      <c r="D11" s="19">
        <f>_xlfn.NORM.INV(RAND(),$B$3,$E$3)</f>
        <v>386</v>
      </c>
      <c r="E11" s="19">
        <f>_xlfn.NORM.INV(RAND(),$B$3,$E$3)</f>
        <v>397</v>
      </c>
      <c r="F11" s="19">
        <f>_xlfn.NORM.INV(RAND(),$B$3,$E$3)</f>
        <v>437</v>
      </c>
      <c r="G11" s="19">
        <f>_xlfn.NORM.INV(RAND(),$B$3,$E$3)</f>
        <v>413</v>
      </c>
      <c r="H11" s="19">
        <f>_xlfn.NORM.INV(RAND(),$B$3,$E$3)</f>
        <v>370</v>
      </c>
      <c r="I11" s="19">
        <f>_xlfn.NORM.INV(RAND(),$B$3,$E$3)</f>
        <v>387</v>
      </c>
      <c r="J11" s="19">
        <f>_xlfn.NORM.INV(RAND(),$B$3,$E$3)</f>
        <v>388</v>
      </c>
      <c r="K11" s="19">
        <f>_xlfn.NORM.INV(RAND(),$B$3,$E$3)</f>
        <v>425</v>
      </c>
      <c r="L11" s="19">
        <f>_xlfn.NORM.INV(RAND(),$B$3,$E$3)</f>
        <v>399</v>
      </c>
      <c r="M11" s="19">
        <f>_xlfn.NORM.INV(RAND(),$B$3,$E$3)</f>
        <v>388</v>
      </c>
      <c r="N11" s="19">
        <f>_xlfn.NORM.INV(RAND(),$B$3,$E$3)</f>
        <v>420</v>
      </c>
      <c r="O11" s="19">
        <f>_xlfn.NORM.INV(RAND(),$B$3,$E$3)</f>
        <v>375</v>
      </c>
      <c r="P11" s="19">
        <f>_xlfn.NORM.INV(RAND(),$B$3,$E$3)</f>
        <v>379</v>
      </c>
      <c r="Q11" s="19">
        <f>_xlfn.NORM.INV(RAND(),$B$3,$E$3)</f>
        <v>362</v>
      </c>
      <c r="R11" s="19">
        <f>_xlfn.NORM.INV(RAND(),$B$3,$E$3)</f>
        <v>412</v>
      </c>
      <c r="S11" s="19">
        <f>_xlfn.NORM.INV(RAND(),$B$3,$E$3)</f>
        <v>370</v>
      </c>
      <c r="T11" s="19">
        <f>_xlfn.NORM.INV(RAND(),$B$3,$E$3)</f>
        <v>421</v>
      </c>
      <c r="U11" s="19">
        <f>_xlfn.NORM.INV(RAND(),$B$3,$E$3)</f>
        <v>465</v>
      </c>
    </row>
    <row r="12" spans="1:21" x14ac:dyDescent="0.25">
      <c r="A12" s="17">
        <v>6</v>
      </c>
      <c r="B12" s="19">
        <f>_xlfn.NORM.INV(RAND(),$B$3,$E$3)</f>
        <v>453</v>
      </c>
      <c r="C12" s="19">
        <f>_xlfn.NORM.INV(RAND(),$B$3,$E$3)</f>
        <v>349</v>
      </c>
      <c r="D12" s="19">
        <f>_xlfn.NORM.INV(RAND(),$B$3,$E$3)</f>
        <v>413</v>
      </c>
      <c r="E12" s="19">
        <f>_xlfn.NORM.INV(RAND(),$B$3,$E$3)</f>
        <v>327</v>
      </c>
      <c r="F12" s="19">
        <f>_xlfn.NORM.INV(RAND(),$B$3,$E$3)</f>
        <v>322</v>
      </c>
      <c r="G12" s="19">
        <f>_xlfn.NORM.INV(RAND(),$B$3,$E$3)</f>
        <v>371</v>
      </c>
      <c r="H12" s="19">
        <f>_xlfn.NORM.INV(RAND(),$B$3,$E$3)</f>
        <v>353</v>
      </c>
      <c r="I12" s="19">
        <f>_xlfn.NORM.INV(RAND(),$B$3,$E$3)</f>
        <v>375</v>
      </c>
      <c r="J12" s="19">
        <f>_xlfn.NORM.INV(RAND(),$B$3,$E$3)</f>
        <v>432</v>
      </c>
      <c r="K12" s="19">
        <f>_xlfn.NORM.INV(RAND(),$B$3,$E$3)</f>
        <v>404</v>
      </c>
      <c r="L12" s="19">
        <f>_xlfn.NORM.INV(RAND(),$B$3,$E$3)</f>
        <v>393</v>
      </c>
      <c r="M12" s="19">
        <f>_xlfn.NORM.INV(RAND(),$B$3,$E$3)</f>
        <v>422</v>
      </c>
      <c r="N12" s="19">
        <f>_xlfn.NORM.INV(RAND(),$B$3,$E$3)</f>
        <v>347</v>
      </c>
      <c r="O12" s="19">
        <f>_xlfn.NORM.INV(RAND(),$B$3,$E$3)</f>
        <v>325</v>
      </c>
      <c r="P12" s="19">
        <f>_xlfn.NORM.INV(RAND(),$B$3,$E$3)</f>
        <v>361</v>
      </c>
      <c r="Q12" s="19">
        <f>_xlfn.NORM.INV(RAND(),$B$3,$E$3)</f>
        <v>421</v>
      </c>
      <c r="R12" s="19">
        <f>_xlfn.NORM.INV(RAND(),$B$3,$E$3)</f>
        <v>375</v>
      </c>
      <c r="S12" s="19">
        <f>_xlfn.NORM.INV(RAND(),$B$3,$E$3)</f>
        <v>372</v>
      </c>
      <c r="T12" s="19">
        <f>_xlfn.NORM.INV(RAND(),$B$3,$E$3)</f>
        <v>384</v>
      </c>
      <c r="U12" s="19">
        <f>_xlfn.NORM.INV(RAND(),$B$3,$E$3)</f>
        <v>403</v>
      </c>
    </row>
    <row r="13" spans="1:21" x14ac:dyDescent="0.25">
      <c r="A13" s="17">
        <v>7</v>
      </c>
      <c r="B13" s="19">
        <f>_xlfn.NORM.INV(RAND(),$B$3,$E$3)</f>
        <v>339</v>
      </c>
      <c r="C13" s="19">
        <f>_xlfn.NORM.INV(RAND(),$B$3,$E$3)</f>
        <v>351</v>
      </c>
      <c r="D13" s="19">
        <f>_xlfn.NORM.INV(RAND(),$B$3,$E$3)</f>
        <v>331</v>
      </c>
      <c r="E13" s="19">
        <f>_xlfn.NORM.INV(RAND(),$B$3,$E$3)</f>
        <v>348</v>
      </c>
      <c r="F13" s="19">
        <f>_xlfn.NORM.INV(RAND(),$B$3,$E$3)</f>
        <v>377</v>
      </c>
      <c r="G13" s="19">
        <f>_xlfn.NORM.INV(RAND(),$B$3,$E$3)</f>
        <v>363</v>
      </c>
      <c r="H13" s="19">
        <f>_xlfn.NORM.INV(RAND(),$B$3,$E$3)</f>
        <v>360</v>
      </c>
      <c r="I13" s="19">
        <f>_xlfn.NORM.INV(RAND(),$B$3,$E$3)</f>
        <v>374</v>
      </c>
      <c r="J13" s="19">
        <f>_xlfn.NORM.INV(RAND(),$B$3,$E$3)</f>
        <v>441</v>
      </c>
      <c r="K13" s="19">
        <f>_xlfn.NORM.INV(RAND(),$B$3,$E$3)</f>
        <v>387</v>
      </c>
      <c r="L13" s="19">
        <f>_xlfn.NORM.INV(RAND(),$B$3,$E$3)</f>
        <v>343</v>
      </c>
      <c r="M13" s="19">
        <f>_xlfn.NORM.INV(RAND(),$B$3,$E$3)</f>
        <v>379</v>
      </c>
      <c r="N13" s="19">
        <f>_xlfn.NORM.INV(RAND(),$B$3,$E$3)</f>
        <v>465</v>
      </c>
      <c r="O13" s="19">
        <f>_xlfn.NORM.INV(RAND(),$B$3,$E$3)</f>
        <v>348</v>
      </c>
      <c r="P13" s="19">
        <f>_xlfn.NORM.INV(RAND(),$B$3,$E$3)</f>
        <v>460</v>
      </c>
      <c r="Q13" s="19">
        <f>_xlfn.NORM.INV(RAND(),$B$3,$E$3)</f>
        <v>424</v>
      </c>
      <c r="R13" s="19">
        <f>_xlfn.NORM.INV(RAND(),$B$3,$E$3)</f>
        <v>396</v>
      </c>
      <c r="S13" s="19">
        <f>_xlfn.NORM.INV(RAND(),$B$3,$E$3)</f>
        <v>398</v>
      </c>
      <c r="T13" s="19">
        <f>_xlfn.NORM.INV(RAND(),$B$3,$E$3)</f>
        <v>348</v>
      </c>
      <c r="U13" s="19">
        <f>_xlfn.NORM.INV(RAND(),$B$3,$E$3)</f>
        <v>424</v>
      </c>
    </row>
    <row r="14" spans="1:21" x14ac:dyDescent="0.25">
      <c r="A14" s="17">
        <v>8</v>
      </c>
      <c r="B14" s="19">
        <f>_xlfn.NORM.INV(RAND(),$B$3,$E$3)</f>
        <v>373</v>
      </c>
      <c r="C14" s="19">
        <f>_xlfn.NORM.INV(RAND(),$B$3,$E$3)</f>
        <v>375</v>
      </c>
      <c r="D14" s="19">
        <f>_xlfn.NORM.INV(RAND(),$B$3,$E$3)</f>
        <v>406</v>
      </c>
      <c r="E14" s="19">
        <f>_xlfn.NORM.INV(RAND(),$B$3,$E$3)</f>
        <v>439</v>
      </c>
      <c r="F14" s="19">
        <f>_xlfn.NORM.INV(RAND(),$B$3,$E$3)</f>
        <v>378</v>
      </c>
      <c r="G14" s="19">
        <f>_xlfn.NORM.INV(RAND(),$B$3,$E$3)</f>
        <v>426</v>
      </c>
      <c r="H14" s="19">
        <f>_xlfn.NORM.INV(RAND(),$B$3,$E$3)</f>
        <v>483</v>
      </c>
      <c r="I14" s="19">
        <f>_xlfn.NORM.INV(RAND(),$B$3,$E$3)</f>
        <v>389</v>
      </c>
      <c r="J14" s="19">
        <f>_xlfn.NORM.INV(RAND(),$B$3,$E$3)</f>
        <v>409</v>
      </c>
      <c r="K14" s="19">
        <f>_xlfn.NORM.INV(RAND(),$B$3,$E$3)</f>
        <v>312</v>
      </c>
      <c r="L14" s="19">
        <f>_xlfn.NORM.INV(RAND(),$B$3,$E$3)</f>
        <v>418</v>
      </c>
      <c r="M14" s="19">
        <f>_xlfn.NORM.INV(RAND(),$B$3,$E$3)</f>
        <v>409</v>
      </c>
      <c r="N14" s="19">
        <f>_xlfn.NORM.INV(RAND(),$B$3,$E$3)</f>
        <v>418</v>
      </c>
      <c r="O14" s="19">
        <f>_xlfn.NORM.INV(RAND(),$B$3,$E$3)</f>
        <v>394</v>
      </c>
      <c r="P14" s="19">
        <f>_xlfn.NORM.INV(RAND(),$B$3,$E$3)</f>
        <v>388</v>
      </c>
      <c r="Q14" s="19">
        <f>_xlfn.NORM.INV(RAND(),$B$3,$E$3)</f>
        <v>446</v>
      </c>
      <c r="R14" s="19">
        <f>_xlfn.NORM.INV(RAND(),$B$3,$E$3)</f>
        <v>393</v>
      </c>
      <c r="S14" s="19">
        <f>_xlfn.NORM.INV(RAND(),$B$3,$E$3)</f>
        <v>398</v>
      </c>
      <c r="T14" s="19">
        <f>_xlfn.NORM.INV(RAND(),$B$3,$E$3)</f>
        <v>368</v>
      </c>
      <c r="U14" s="19">
        <f>_xlfn.NORM.INV(RAND(),$B$3,$E$3)</f>
        <v>373</v>
      </c>
    </row>
    <row r="15" spans="1:21" x14ac:dyDescent="0.25">
      <c r="A15" s="17">
        <v>9</v>
      </c>
      <c r="B15" s="19">
        <f>_xlfn.NORM.INV(RAND(),$B$3,$E$3)</f>
        <v>323</v>
      </c>
      <c r="C15" s="19">
        <f>_xlfn.NORM.INV(RAND(),$B$3,$E$3)</f>
        <v>483</v>
      </c>
      <c r="D15" s="19">
        <f>_xlfn.NORM.INV(RAND(),$B$3,$E$3)</f>
        <v>367</v>
      </c>
      <c r="E15" s="19">
        <f>_xlfn.NORM.INV(RAND(),$B$3,$E$3)</f>
        <v>410</v>
      </c>
      <c r="F15" s="19">
        <f>_xlfn.NORM.INV(RAND(),$B$3,$E$3)</f>
        <v>369</v>
      </c>
      <c r="G15" s="19">
        <f>_xlfn.NORM.INV(RAND(),$B$3,$E$3)</f>
        <v>382</v>
      </c>
      <c r="H15" s="19">
        <f>_xlfn.NORM.INV(RAND(),$B$3,$E$3)</f>
        <v>335</v>
      </c>
      <c r="I15" s="19">
        <f>_xlfn.NORM.INV(RAND(),$B$3,$E$3)</f>
        <v>383</v>
      </c>
      <c r="J15" s="19">
        <f>_xlfn.NORM.INV(RAND(),$B$3,$E$3)</f>
        <v>389</v>
      </c>
      <c r="K15" s="19">
        <f>_xlfn.NORM.INV(RAND(),$B$3,$E$3)</f>
        <v>357</v>
      </c>
      <c r="L15" s="19">
        <f>_xlfn.NORM.INV(RAND(),$B$3,$E$3)</f>
        <v>373</v>
      </c>
      <c r="M15" s="19">
        <f>_xlfn.NORM.INV(RAND(),$B$3,$E$3)</f>
        <v>397</v>
      </c>
      <c r="N15" s="19">
        <f>_xlfn.NORM.INV(RAND(),$B$3,$E$3)</f>
        <v>357</v>
      </c>
      <c r="O15" s="19">
        <f>_xlfn.NORM.INV(RAND(),$B$3,$E$3)</f>
        <v>470</v>
      </c>
      <c r="P15" s="19">
        <f>_xlfn.NORM.INV(RAND(),$B$3,$E$3)</f>
        <v>398</v>
      </c>
      <c r="Q15" s="19">
        <f>_xlfn.NORM.INV(RAND(),$B$3,$E$3)</f>
        <v>452</v>
      </c>
      <c r="R15" s="19">
        <f>_xlfn.NORM.INV(RAND(),$B$3,$E$3)</f>
        <v>392</v>
      </c>
      <c r="S15" s="19">
        <f>_xlfn.NORM.INV(RAND(),$B$3,$E$3)</f>
        <v>380</v>
      </c>
      <c r="T15" s="19">
        <f>_xlfn.NORM.INV(RAND(),$B$3,$E$3)</f>
        <v>395</v>
      </c>
      <c r="U15" s="19">
        <f>_xlfn.NORM.INV(RAND(),$B$3,$E$3)</f>
        <v>349</v>
      </c>
    </row>
    <row r="16" spans="1:21" x14ac:dyDescent="0.25">
      <c r="A16" s="17">
        <v>10</v>
      </c>
      <c r="B16" s="19">
        <f>_xlfn.NORM.INV(RAND(),$B$3,$E$3)</f>
        <v>448</v>
      </c>
      <c r="C16" s="19">
        <f>_xlfn.NORM.INV(RAND(),$B$3,$E$3)</f>
        <v>394</v>
      </c>
      <c r="D16" s="19">
        <f>_xlfn.NORM.INV(RAND(),$B$3,$E$3)</f>
        <v>327</v>
      </c>
      <c r="E16" s="19">
        <f>_xlfn.NORM.INV(RAND(),$B$3,$E$3)</f>
        <v>369</v>
      </c>
      <c r="F16" s="19">
        <f>_xlfn.NORM.INV(RAND(),$B$3,$E$3)</f>
        <v>378</v>
      </c>
      <c r="G16" s="19">
        <f>_xlfn.NORM.INV(RAND(),$B$3,$E$3)</f>
        <v>341</v>
      </c>
      <c r="H16" s="19">
        <f>_xlfn.NORM.INV(RAND(),$B$3,$E$3)</f>
        <v>338</v>
      </c>
      <c r="I16" s="19">
        <f>_xlfn.NORM.INV(RAND(),$B$3,$E$3)</f>
        <v>325</v>
      </c>
      <c r="J16" s="19">
        <f>_xlfn.NORM.INV(RAND(),$B$3,$E$3)</f>
        <v>389</v>
      </c>
      <c r="K16" s="19">
        <f>_xlfn.NORM.INV(RAND(),$B$3,$E$3)</f>
        <v>408</v>
      </c>
      <c r="L16" s="19">
        <f>_xlfn.NORM.INV(RAND(),$B$3,$E$3)</f>
        <v>354</v>
      </c>
      <c r="M16" s="19">
        <f>_xlfn.NORM.INV(RAND(),$B$3,$E$3)</f>
        <v>420</v>
      </c>
      <c r="N16" s="19">
        <f>_xlfn.NORM.INV(RAND(),$B$3,$E$3)</f>
        <v>444</v>
      </c>
      <c r="O16" s="19">
        <f>_xlfn.NORM.INV(RAND(),$B$3,$E$3)</f>
        <v>431</v>
      </c>
      <c r="P16" s="19">
        <f>_xlfn.NORM.INV(RAND(),$B$3,$E$3)</f>
        <v>386</v>
      </c>
      <c r="Q16" s="19">
        <f>_xlfn.NORM.INV(RAND(),$B$3,$E$3)</f>
        <v>418</v>
      </c>
      <c r="R16" s="19">
        <f>_xlfn.NORM.INV(RAND(),$B$3,$E$3)</f>
        <v>433</v>
      </c>
      <c r="S16" s="19">
        <f>_xlfn.NORM.INV(RAND(),$B$3,$E$3)</f>
        <v>370</v>
      </c>
      <c r="T16" s="19">
        <f>_xlfn.NORM.INV(RAND(),$B$3,$E$3)</f>
        <v>398</v>
      </c>
      <c r="U16" s="19">
        <f>_xlfn.NORM.INV(RAND(),$B$3,$E$3)</f>
        <v>400</v>
      </c>
    </row>
    <row r="17" spans="1:21" x14ac:dyDescent="0.25">
      <c r="A17" s="17">
        <v>11</v>
      </c>
      <c r="B17" s="19">
        <f>_xlfn.NORM.INV(RAND(),$B$3,$E$3)</f>
        <v>321</v>
      </c>
      <c r="C17" s="19">
        <f>_xlfn.NORM.INV(RAND(),$B$3,$E$3)</f>
        <v>446</v>
      </c>
      <c r="D17" s="19">
        <f>_xlfn.NORM.INV(RAND(),$B$3,$E$3)</f>
        <v>363</v>
      </c>
      <c r="E17" s="19">
        <f>_xlfn.NORM.INV(RAND(),$B$3,$E$3)</f>
        <v>367</v>
      </c>
      <c r="F17" s="19">
        <f>_xlfn.NORM.INV(RAND(),$B$3,$E$3)</f>
        <v>403</v>
      </c>
      <c r="G17" s="19">
        <f>_xlfn.NORM.INV(RAND(),$B$3,$E$3)</f>
        <v>382</v>
      </c>
      <c r="H17" s="19">
        <f>_xlfn.NORM.INV(RAND(),$B$3,$E$3)</f>
        <v>348</v>
      </c>
      <c r="I17" s="19">
        <f>_xlfn.NORM.INV(RAND(),$B$3,$E$3)</f>
        <v>375</v>
      </c>
      <c r="J17" s="19">
        <f>_xlfn.NORM.INV(RAND(),$B$3,$E$3)</f>
        <v>407</v>
      </c>
      <c r="K17" s="19">
        <f>_xlfn.NORM.INV(RAND(),$B$3,$E$3)</f>
        <v>371</v>
      </c>
      <c r="L17" s="19">
        <f>_xlfn.NORM.INV(RAND(),$B$3,$E$3)</f>
        <v>381</v>
      </c>
      <c r="M17" s="19">
        <f>_xlfn.NORM.INV(RAND(),$B$3,$E$3)</f>
        <v>411</v>
      </c>
      <c r="N17" s="19">
        <f>_xlfn.NORM.INV(RAND(),$B$3,$E$3)</f>
        <v>432</v>
      </c>
      <c r="O17" s="19">
        <f>_xlfn.NORM.INV(RAND(),$B$3,$E$3)</f>
        <v>375</v>
      </c>
      <c r="P17" s="19">
        <f>_xlfn.NORM.INV(RAND(),$B$3,$E$3)</f>
        <v>381</v>
      </c>
      <c r="Q17" s="19">
        <f>_xlfn.NORM.INV(RAND(),$B$3,$E$3)</f>
        <v>357</v>
      </c>
      <c r="R17" s="19">
        <f>_xlfn.NORM.INV(RAND(),$B$3,$E$3)</f>
        <v>346</v>
      </c>
      <c r="S17" s="19">
        <f>_xlfn.NORM.INV(RAND(),$B$3,$E$3)</f>
        <v>373</v>
      </c>
      <c r="T17" s="19">
        <f>_xlfn.NORM.INV(RAND(),$B$3,$E$3)</f>
        <v>402</v>
      </c>
      <c r="U17" s="19">
        <f>_xlfn.NORM.INV(RAND(),$B$3,$E$3)</f>
        <v>364</v>
      </c>
    </row>
    <row r="18" spans="1:21" x14ac:dyDescent="0.25">
      <c r="A18" s="17">
        <v>12</v>
      </c>
      <c r="B18" s="19">
        <f>_xlfn.NORM.INV(RAND(),$B$3,$E$3)</f>
        <v>444</v>
      </c>
      <c r="C18" s="19">
        <f>_xlfn.NORM.INV(RAND(),$B$3,$E$3)</f>
        <v>375</v>
      </c>
      <c r="D18" s="19">
        <f>_xlfn.NORM.INV(RAND(),$B$3,$E$3)</f>
        <v>386</v>
      </c>
      <c r="E18" s="19">
        <f>_xlfn.NORM.INV(RAND(),$B$3,$E$3)</f>
        <v>336</v>
      </c>
      <c r="F18" s="19">
        <f>_xlfn.NORM.INV(RAND(),$B$3,$E$3)</f>
        <v>403</v>
      </c>
      <c r="G18" s="19">
        <f>_xlfn.NORM.INV(RAND(),$B$3,$E$3)</f>
        <v>375</v>
      </c>
      <c r="H18" s="19">
        <f>_xlfn.NORM.INV(RAND(),$B$3,$E$3)</f>
        <v>326</v>
      </c>
      <c r="I18" s="19">
        <f>_xlfn.NORM.INV(RAND(),$B$3,$E$3)</f>
        <v>400</v>
      </c>
      <c r="J18" s="19">
        <f>_xlfn.NORM.INV(RAND(),$B$3,$E$3)</f>
        <v>410</v>
      </c>
      <c r="K18" s="19">
        <f>_xlfn.NORM.INV(RAND(),$B$3,$E$3)</f>
        <v>440</v>
      </c>
      <c r="L18" s="19">
        <f>_xlfn.NORM.INV(RAND(),$B$3,$E$3)</f>
        <v>416</v>
      </c>
      <c r="M18" s="19">
        <f>_xlfn.NORM.INV(RAND(),$B$3,$E$3)</f>
        <v>371</v>
      </c>
      <c r="N18" s="19">
        <f>_xlfn.NORM.INV(RAND(),$B$3,$E$3)</f>
        <v>349</v>
      </c>
      <c r="O18" s="19">
        <f>_xlfn.NORM.INV(RAND(),$B$3,$E$3)</f>
        <v>415</v>
      </c>
      <c r="P18" s="19">
        <f>_xlfn.NORM.INV(RAND(),$B$3,$E$3)</f>
        <v>410</v>
      </c>
      <c r="Q18" s="19">
        <f>_xlfn.NORM.INV(RAND(),$B$3,$E$3)</f>
        <v>408</v>
      </c>
      <c r="R18" s="19">
        <f>_xlfn.NORM.INV(RAND(),$B$3,$E$3)</f>
        <v>346</v>
      </c>
      <c r="S18" s="19">
        <f>_xlfn.NORM.INV(RAND(),$B$3,$E$3)</f>
        <v>364</v>
      </c>
      <c r="T18" s="19">
        <f>_xlfn.NORM.INV(RAND(),$B$3,$E$3)</f>
        <v>441</v>
      </c>
      <c r="U18" s="19">
        <f>_xlfn.NORM.INV(RAND(),$B$3,$E$3)</f>
        <v>408</v>
      </c>
    </row>
    <row r="19" spans="1:21" x14ac:dyDescent="0.25">
      <c r="A19" s="17">
        <v>13</v>
      </c>
      <c r="B19" s="19">
        <f>_xlfn.NORM.INV(RAND(),$B$3,$E$3)</f>
        <v>368</v>
      </c>
      <c r="C19" s="19">
        <f>_xlfn.NORM.INV(RAND(),$B$3,$E$3)</f>
        <v>461</v>
      </c>
      <c r="D19" s="19">
        <f>_xlfn.NORM.INV(RAND(),$B$3,$E$3)</f>
        <v>392</v>
      </c>
      <c r="E19" s="19">
        <f>_xlfn.NORM.INV(RAND(),$B$3,$E$3)</f>
        <v>352</v>
      </c>
      <c r="F19" s="19">
        <f>_xlfn.NORM.INV(RAND(),$B$3,$E$3)</f>
        <v>420</v>
      </c>
      <c r="G19" s="19">
        <f>_xlfn.NORM.INV(RAND(),$B$3,$E$3)</f>
        <v>353</v>
      </c>
      <c r="H19" s="19">
        <f>_xlfn.NORM.INV(RAND(),$B$3,$E$3)</f>
        <v>434</v>
      </c>
      <c r="I19" s="19">
        <f>_xlfn.NORM.INV(RAND(),$B$3,$E$3)</f>
        <v>405</v>
      </c>
      <c r="J19" s="19">
        <f>_xlfn.NORM.INV(RAND(),$B$3,$E$3)</f>
        <v>359</v>
      </c>
      <c r="K19" s="19">
        <f>_xlfn.NORM.INV(RAND(),$B$3,$E$3)</f>
        <v>373</v>
      </c>
      <c r="L19" s="19">
        <f>_xlfn.NORM.INV(RAND(),$B$3,$E$3)</f>
        <v>335</v>
      </c>
      <c r="M19" s="19">
        <f>_xlfn.NORM.INV(RAND(),$B$3,$E$3)</f>
        <v>396</v>
      </c>
      <c r="N19" s="19">
        <f>_xlfn.NORM.INV(RAND(),$B$3,$E$3)</f>
        <v>347</v>
      </c>
      <c r="O19" s="19">
        <f>_xlfn.NORM.INV(RAND(),$B$3,$E$3)</f>
        <v>378</v>
      </c>
      <c r="P19" s="19">
        <f>_xlfn.NORM.INV(RAND(),$B$3,$E$3)</f>
        <v>362</v>
      </c>
      <c r="Q19" s="19">
        <f>_xlfn.NORM.INV(RAND(),$B$3,$E$3)</f>
        <v>425</v>
      </c>
      <c r="R19" s="19">
        <f>_xlfn.NORM.INV(RAND(),$B$3,$E$3)</f>
        <v>370</v>
      </c>
      <c r="S19" s="19">
        <f>_xlfn.NORM.INV(RAND(),$B$3,$E$3)</f>
        <v>406</v>
      </c>
      <c r="T19" s="19">
        <f>_xlfn.NORM.INV(RAND(),$B$3,$E$3)</f>
        <v>441</v>
      </c>
      <c r="U19" s="19">
        <f>_xlfn.NORM.INV(RAND(),$B$3,$E$3)</f>
        <v>324</v>
      </c>
    </row>
    <row r="20" spans="1:21" x14ac:dyDescent="0.25">
      <c r="A20" s="17">
        <v>14</v>
      </c>
      <c r="B20" s="19">
        <f>_xlfn.NORM.INV(RAND(),$B$3,$E$3)</f>
        <v>394</v>
      </c>
      <c r="C20" s="19">
        <f>_xlfn.NORM.INV(RAND(),$B$3,$E$3)</f>
        <v>411</v>
      </c>
      <c r="D20" s="19">
        <f>_xlfn.NORM.INV(RAND(),$B$3,$E$3)</f>
        <v>467</v>
      </c>
      <c r="E20" s="19">
        <f>_xlfn.NORM.INV(RAND(),$B$3,$E$3)</f>
        <v>413</v>
      </c>
      <c r="F20" s="19">
        <f>_xlfn.NORM.INV(RAND(),$B$3,$E$3)</f>
        <v>421</v>
      </c>
      <c r="G20" s="19">
        <f>_xlfn.NORM.INV(RAND(),$B$3,$E$3)</f>
        <v>375</v>
      </c>
      <c r="H20" s="19">
        <f>_xlfn.NORM.INV(RAND(),$B$3,$E$3)</f>
        <v>410</v>
      </c>
      <c r="I20" s="19">
        <f>_xlfn.NORM.INV(RAND(),$B$3,$E$3)</f>
        <v>397</v>
      </c>
      <c r="J20" s="19">
        <f>_xlfn.NORM.INV(RAND(),$B$3,$E$3)</f>
        <v>403</v>
      </c>
      <c r="K20" s="19">
        <f>_xlfn.NORM.INV(RAND(),$B$3,$E$3)</f>
        <v>430</v>
      </c>
      <c r="L20" s="19">
        <f>_xlfn.NORM.INV(RAND(),$B$3,$E$3)</f>
        <v>422</v>
      </c>
      <c r="M20" s="19">
        <f>_xlfn.NORM.INV(RAND(),$B$3,$E$3)</f>
        <v>383</v>
      </c>
      <c r="N20" s="19">
        <f>_xlfn.NORM.INV(RAND(),$B$3,$E$3)</f>
        <v>430</v>
      </c>
      <c r="O20" s="19">
        <f>_xlfn.NORM.INV(RAND(),$B$3,$E$3)</f>
        <v>402</v>
      </c>
      <c r="P20" s="19">
        <f>_xlfn.NORM.INV(RAND(),$B$3,$E$3)</f>
        <v>352</v>
      </c>
      <c r="Q20" s="19">
        <f>_xlfn.NORM.INV(RAND(),$B$3,$E$3)</f>
        <v>304</v>
      </c>
      <c r="R20" s="19">
        <f>_xlfn.NORM.INV(RAND(),$B$3,$E$3)</f>
        <v>371</v>
      </c>
      <c r="S20" s="19">
        <f>_xlfn.NORM.INV(RAND(),$B$3,$E$3)</f>
        <v>319</v>
      </c>
      <c r="T20" s="19">
        <f>_xlfn.NORM.INV(RAND(),$B$3,$E$3)</f>
        <v>362</v>
      </c>
      <c r="U20" s="19">
        <f>_xlfn.NORM.INV(RAND(),$B$3,$E$3)</f>
        <v>402</v>
      </c>
    </row>
    <row r="21" spans="1:21" x14ac:dyDescent="0.25">
      <c r="A21" s="17">
        <v>15</v>
      </c>
      <c r="B21" s="19">
        <f>_xlfn.NORM.INV(RAND(),$B$3,$E$3)</f>
        <v>410</v>
      </c>
      <c r="C21" s="19">
        <f>_xlfn.NORM.INV(RAND(),$B$3,$E$3)</f>
        <v>421</v>
      </c>
      <c r="D21" s="19">
        <f>_xlfn.NORM.INV(RAND(),$B$3,$E$3)</f>
        <v>401</v>
      </c>
      <c r="E21" s="19">
        <f>_xlfn.NORM.INV(RAND(),$B$3,$E$3)</f>
        <v>398</v>
      </c>
      <c r="F21" s="19">
        <f>_xlfn.NORM.INV(RAND(),$B$3,$E$3)</f>
        <v>413</v>
      </c>
      <c r="G21" s="19">
        <f>_xlfn.NORM.INV(RAND(),$B$3,$E$3)</f>
        <v>386</v>
      </c>
      <c r="H21" s="19">
        <f>_xlfn.NORM.INV(RAND(),$B$3,$E$3)</f>
        <v>386</v>
      </c>
      <c r="I21" s="19">
        <f>_xlfn.NORM.INV(RAND(),$B$3,$E$3)</f>
        <v>395</v>
      </c>
      <c r="J21" s="19">
        <f>_xlfn.NORM.INV(RAND(),$B$3,$E$3)</f>
        <v>344</v>
      </c>
      <c r="K21" s="19">
        <f>_xlfn.NORM.INV(RAND(),$B$3,$E$3)</f>
        <v>414</v>
      </c>
      <c r="L21" s="19">
        <f>_xlfn.NORM.INV(RAND(),$B$3,$E$3)</f>
        <v>386</v>
      </c>
      <c r="M21" s="19">
        <f>_xlfn.NORM.INV(RAND(),$B$3,$E$3)</f>
        <v>320</v>
      </c>
      <c r="N21" s="19">
        <f>_xlfn.NORM.INV(RAND(),$B$3,$E$3)</f>
        <v>319</v>
      </c>
      <c r="O21" s="19">
        <f>_xlfn.NORM.INV(RAND(),$B$3,$E$3)</f>
        <v>424</v>
      </c>
      <c r="P21" s="19">
        <f>_xlfn.NORM.INV(RAND(),$B$3,$E$3)</f>
        <v>436</v>
      </c>
      <c r="Q21" s="19">
        <f>_xlfn.NORM.INV(RAND(),$B$3,$E$3)</f>
        <v>408</v>
      </c>
      <c r="R21" s="19">
        <f>_xlfn.NORM.INV(RAND(),$B$3,$E$3)</f>
        <v>344</v>
      </c>
      <c r="S21" s="19">
        <f>_xlfn.NORM.INV(RAND(),$B$3,$E$3)</f>
        <v>374</v>
      </c>
      <c r="T21" s="19">
        <f>_xlfn.NORM.INV(RAND(),$B$3,$E$3)</f>
        <v>387</v>
      </c>
      <c r="U21" s="19">
        <f>_xlfn.NORM.INV(RAND(),$B$3,$E$3)</f>
        <v>372</v>
      </c>
    </row>
    <row r="22" spans="1:21" x14ac:dyDescent="0.25">
      <c r="A22" s="17">
        <v>16</v>
      </c>
      <c r="B22" s="19">
        <f>_xlfn.NORM.INV(RAND(),$B$3,$E$3)</f>
        <v>458</v>
      </c>
      <c r="C22" s="19">
        <f>_xlfn.NORM.INV(RAND(),$B$3,$E$3)</f>
        <v>397</v>
      </c>
      <c r="D22" s="19">
        <f>_xlfn.NORM.INV(RAND(),$B$3,$E$3)</f>
        <v>373</v>
      </c>
      <c r="E22" s="19">
        <f>_xlfn.NORM.INV(RAND(),$B$3,$E$3)</f>
        <v>353</v>
      </c>
      <c r="F22" s="19">
        <f>_xlfn.NORM.INV(RAND(),$B$3,$E$3)</f>
        <v>395</v>
      </c>
      <c r="G22" s="19">
        <f>_xlfn.NORM.INV(RAND(),$B$3,$E$3)</f>
        <v>402</v>
      </c>
      <c r="H22" s="19">
        <f>_xlfn.NORM.INV(RAND(),$B$3,$E$3)</f>
        <v>414</v>
      </c>
      <c r="I22" s="19">
        <f>_xlfn.NORM.INV(RAND(),$B$3,$E$3)</f>
        <v>398</v>
      </c>
      <c r="J22" s="19">
        <f>_xlfn.NORM.INV(RAND(),$B$3,$E$3)</f>
        <v>385</v>
      </c>
      <c r="K22" s="19">
        <f>_xlfn.NORM.INV(RAND(),$B$3,$E$3)</f>
        <v>468</v>
      </c>
      <c r="L22" s="19">
        <f>_xlfn.NORM.INV(RAND(),$B$3,$E$3)</f>
        <v>408</v>
      </c>
      <c r="M22" s="19">
        <f>_xlfn.NORM.INV(RAND(),$B$3,$E$3)</f>
        <v>387</v>
      </c>
      <c r="N22" s="19">
        <f>_xlfn.NORM.INV(RAND(),$B$3,$E$3)</f>
        <v>343</v>
      </c>
      <c r="O22" s="19">
        <f>_xlfn.NORM.INV(RAND(),$B$3,$E$3)</f>
        <v>378</v>
      </c>
      <c r="P22" s="19">
        <f>_xlfn.NORM.INV(RAND(),$B$3,$E$3)</f>
        <v>387</v>
      </c>
      <c r="Q22" s="19">
        <f>_xlfn.NORM.INV(RAND(),$B$3,$E$3)</f>
        <v>433</v>
      </c>
      <c r="R22" s="19">
        <f>_xlfn.NORM.INV(RAND(),$B$3,$E$3)</f>
        <v>379</v>
      </c>
      <c r="S22" s="19">
        <f>_xlfn.NORM.INV(RAND(),$B$3,$E$3)</f>
        <v>420</v>
      </c>
      <c r="T22" s="19">
        <f>_xlfn.NORM.INV(RAND(),$B$3,$E$3)</f>
        <v>392</v>
      </c>
      <c r="U22" s="19">
        <f>_xlfn.NORM.INV(RAND(),$B$3,$E$3)</f>
        <v>368</v>
      </c>
    </row>
    <row r="23" spans="1:21" x14ac:dyDescent="0.25">
      <c r="A23" s="17">
        <v>17</v>
      </c>
      <c r="B23" s="19">
        <f>_xlfn.NORM.INV(RAND(),$B$3,$E$3)</f>
        <v>358</v>
      </c>
      <c r="C23" s="19">
        <f>_xlfn.NORM.INV(RAND(),$B$3,$E$3)</f>
        <v>365</v>
      </c>
      <c r="D23" s="19">
        <f>_xlfn.NORM.INV(RAND(),$B$3,$E$3)</f>
        <v>395</v>
      </c>
      <c r="E23" s="19">
        <f>_xlfn.NORM.INV(RAND(),$B$3,$E$3)</f>
        <v>381</v>
      </c>
      <c r="F23" s="19">
        <f>_xlfn.NORM.INV(RAND(),$B$3,$E$3)</f>
        <v>377</v>
      </c>
      <c r="G23" s="19">
        <f>_xlfn.NORM.INV(RAND(),$B$3,$E$3)</f>
        <v>336</v>
      </c>
      <c r="H23" s="19">
        <f>_xlfn.NORM.INV(RAND(),$B$3,$E$3)</f>
        <v>364</v>
      </c>
      <c r="I23" s="19">
        <f>_xlfn.NORM.INV(RAND(),$B$3,$E$3)</f>
        <v>404</v>
      </c>
      <c r="J23" s="19">
        <f>_xlfn.NORM.INV(RAND(),$B$3,$E$3)</f>
        <v>420</v>
      </c>
      <c r="K23" s="19">
        <f>_xlfn.NORM.INV(RAND(),$B$3,$E$3)</f>
        <v>393</v>
      </c>
      <c r="L23" s="19">
        <f>_xlfn.NORM.INV(RAND(),$B$3,$E$3)</f>
        <v>341</v>
      </c>
      <c r="M23" s="19">
        <f>_xlfn.NORM.INV(RAND(),$B$3,$E$3)</f>
        <v>393</v>
      </c>
      <c r="N23" s="19">
        <f>_xlfn.NORM.INV(RAND(),$B$3,$E$3)</f>
        <v>339</v>
      </c>
      <c r="O23" s="19">
        <f>_xlfn.NORM.INV(RAND(),$B$3,$E$3)</f>
        <v>418</v>
      </c>
      <c r="P23" s="19">
        <f>_xlfn.NORM.INV(RAND(),$B$3,$E$3)</f>
        <v>440</v>
      </c>
      <c r="Q23" s="19">
        <f>_xlfn.NORM.INV(RAND(),$B$3,$E$3)</f>
        <v>384</v>
      </c>
      <c r="R23" s="19">
        <f>_xlfn.NORM.INV(RAND(),$B$3,$E$3)</f>
        <v>446</v>
      </c>
      <c r="S23" s="19">
        <f>_xlfn.NORM.INV(RAND(),$B$3,$E$3)</f>
        <v>373</v>
      </c>
      <c r="T23" s="19">
        <f>_xlfn.NORM.INV(RAND(),$B$3,$E$3)</f>
        <v>368</v>
      </c>
      <c r="U23" s="19">
        <f>_xlfn.NORM.INV(RAND(),$B$3,$E$3)</f>
        <v>378</v>
      </c>
    </row>
    <row r="24" spans="1:21" x14ac:dyDescent="0.25">
      <c r="A24" s="17">
        <v>18</v>
      </c>
      <c r="B24" s="19">
        <f>_xlfn.NORM.INV(RAND(),$B$3,$E$3)</f>
        <v>351</v>
      </c>
      <c r="C24" s="19">
        <f>_xlfn.NORM.INV(RAND(),$B$3,$E$3)</f>
        <v>336</v>
      </c>
      <c r="D24" s="19">
        <f>_xlfn.NORM.INV(RAND(),$B$3,$E$3)</f>
        <v>361</v>
      </c>
      <c r="E24" s="19">
        <f>_xlfn.NORM.INV(RAND(),$B$3,$E$3)</f>
        <v>337</v>
      </c>
      <c r="F24" s="19">
        <f>_xlfn.NORM.INV(RAND(),$B$3,$E$3)</f>
        <v>433</v>
      </c>
      <c r="G24" s="19">
        <f>_xlfn.NORM.INV(RAND(),$B$3,$E$3)</f>
        <v>385</v>
      </c>
      <c r="H24" s="19">
        <f>_xlfn.NORM.INV(RAND(),$B$3,$E$3)</f>
        <v>392</v>
      </c>
      <c r="I24" s="19">
        <f>_xlfn.NORM.INV(RAND(),$B$3,$E$3)</f>
        <v>417</v>
      </c>
      <c r="J24" s="19">
        <f>_xlfn.NORM.INV(RAND(),$B$3,$E$3)</f>
        <v>400</v>
      </c>
      <c r="K24" s="19">
        <f>_xlfn.NORM.INV(RAND(),$B$3,$E$3)</f>
        <v>364</v>
      </c>
      <c r="L24" s="19">
        <f>_xlfn.NORM.INV(RAND(),$B$3,$E$3)</f>
        <v>414</v>
      </c>
      <c r="M24" s="19">
        <f>_xlfn.NORM.INV(RAND(),$B$3,$E$3)</f>
        <v>446</v>
      </c>
      <c r="N24" s="19">
        <f>_xlfn.NORM.INV(RAND(),$B$3,$E$3)</f>
        <v>339</v>
      </c>
      <c r="O24" s="19">
        <f>_xlfn.NORM.INV(RAND(),$B$3,$E$3)</f>
        <v>384</v>
      </c>
      <c r="P24" s="19">
        <f>_xlfn.NORM.INV(RAND(),$B$3,$E$3)</f>
        <v>430</v>
      </c>
      <c r="Q24" s="19">
        <f>_xlfn.NORM.INV(RAND(),$B$3,$E$3)</f>
        <v>420</v>
      </c>
      <c r="R24" s="19">
        <f>_xlfn.NORM.INV(RAND(),$B$3,$E$3)</f>
        <v>437</v>
      </c>
      <c r="S24" s="19">
        <f>_xlfn.NORM.INV(RAND(),$B$3,$E$3)</f>
        <v>424</v>
      </c>
      <c r="T24" s="19">
        <f>_xlfn.NORM.INV(RAND(),$B$3,$E$3)</f>
        <v>358</v>
      </c>
      <c r="U24" s="19">
        <f>_xlfn.NORM.INV(RAND(),$B$3,$E$3)</f>
        <v>343</v>
      </c>
    </row>
    <row r="25" spans="1:21" x14ac:dyDescent="0.25">
      <c r="A25" s="17">
        <v>19</v>
      </c>
      <c r="B25" s="19">
        <f>_xlfn.NORM.INV(RAND(),$B$3,$E$3)</f>
        <v>357</v>
      </c>
      <c r="C25" s="19">
        <f>_xlfn.NORM.INV(RAND(),$B$3,$E$3)</f>
        <v>420</v>
      </c>
      <c r="D25" s="19">
        <f>_xlfn.NORM.INV(RAND(),$B$3,$E$3)</f>
        <v>421</v>
      </c>
      <c r="E25" s="19">
        <f>_xlfn.NORM.INV(RAND(),$B$3,$E$3)</f>
        <v>408</v>
      </c>
      <c r="F25" s="19">
        <f>_xlfn.NORM.INV(RAND(),$B$3,$E$3)</f>
        <v>383</v>
      </c>
      <c r="G25" s="19">
        <f>_xlfn.NORM.INV(RAND(),$B$3,$E$3)</f>
        <v>375</v>
      </c>
      <c r="H25" s="19">
        <f>_xlfn.NORM.INV(RAND(),$B$3,$E$3)</f>
        <v>419</v>
      </c>
      <c r="I25" s="19">
        <f>_xlfn.NORM.INV(RAND(),$B$3,$E$3)</f>
        <v>398</v>
      </c>
      <c r="J25" s="19">
        <f>_xlfn.NORM.INV(RAND(),$B$3,$E$3)</f>
        <v>342</v>
      </c>
      <c r="K25" s="19">
        <f>_xlfn.NORM.INV(RAND(),$B$3,$E$3)</f>
        <v>419</v>
      </c>
      <c r="L25" s="19">
        <f>_xlfn.NORM.INV(RAND(),$B$3,$E$3)</f>
        <v>399</v>
      </c>
      <c r="M25" s="19">
        <f>_xlfn.NORM.INV(RAND(),$B$3,$E$3)</f>
        <v>436</v>
      </c>
      <c r="N25" s="19">
        <f>_xlfn.NORM.INV(RAND(),$B$3,$E$3)</f>
        <v>394</v>
      </c>
      <c r="O25" s="19">
        <f>_xlfn.NORM.INV(RAND(),$B$3,$E$3)</f>
        <v>426</v>
      </c>
      <c r="P25" s="19">
        <f>_xlfn.NORM.INV(RAND(),$B$3,$E$3)</f>
        <v>425</v>
      </c>
      <c r="Q25" s="19">
        <f>_xlfn.NORM.INV(RAND(),$B$3,$E$3)</f>
        <v>505</v>
      </c>
      <c r="R25" s="19">
        <f>_xlfn.NORM.INV(RAND(),$B$3,$E$3)</f>
        <v>321</v>
      </c>
      <c r="S25" s="19">
        <f>_xlfn.NORM.INV(RAND(),$B$3,$E$3)</f>
        <v>357</v>
      </c>
      <c r="T25" s="19">
        <f>_xlfn.NORM.INV(RAND(),$B$3,$E$3)</f>
        <v>400</v>
      </c>
      <c r="U25" s="19">
        <f>_xlfn.NORM.INV(RAND(),$B$3,$E$3)</f>
        <v>387</v>
      </c>
    </row>
    <row r="26" spans="1:21" x14ac:dyDescent="0.25">
      <c r="A26" s="17">
        <v>20</v>
      </c>
      <c r="B26" s="19">
        <f>_xlfn.NORM.INV(RAND(),$B$3,$E$3)</f>
        <v>395</v>
      </c>
      <c r="C26" s="19">
        <f>_xlfn.NORM.INV(RAND(),$B$3,$E$3)</f>
        <v>374</v>
      </c>
      <c r="D26" s="19">
        <f>_xlfn.NORM.INV(RAND(),$B$3,$E$3)</f>
        <v>384</v>
      </c>
      <c r="E26" s="19">
        <f>_xlfn.NORM.INV(RAND(),$B$3,$E$3)</f>
        <v>395</v>
      </c>
      <c r="F26" s="19">
        <f>_xlfn.NORM.INV(RAND(),$B$3,$E$3)</f>
        <v>346</v>
      </c>
      <c r="G26" s="19">
        <f>_xlfn.NORM.INV(RAND(),$B$3,$E$3)</f>
        <v>391</v>
      </c>
      <c r="H26" s="19">
        <f>_xlfn.NORM.INV(RAND(),$B$3,$E$3)</f>
        <v>414</v>
      </c>
      <c r="I26" s="19">
        <f>_xlfn.NORM.INV(RAND(),$B$3,$E$3)</f>
        <v>390</v>
      </c>
      <c r="J26" s="19">
        <f>_xlfn.NORM.INV(RAND(),$B$3,$E$3)</f>
        <v>396</v>
      </c>
      <c r="K26" s="19">
        <f>_xlfn.NORM.INV(RAND(),$B$3,$E$3)</f>
        <v>376</v>
      </c>
      <c r="L26" s="19">
        <f>_xlfn.NORM.INV(RAND(),$B$3,$E$3)</f>
        <v>387</v>
      </c>
      <c r="M26" s="19">
        <f>_xlfn.NORM.INV(RAND(),$B$3,$E$3)</f>
        <v>336</v>
      </c>
      <c r="N26" s="19">
        <f>_xlfn.NORM.INV(RAND(),$B$3,$E$3)</f>
        <v>420</v>
      </c>
      <c r="O26" s="19">
        <f>_xlfn.NORM.INV(RAND(),$B$3,$E$3)</f>
        <v>388</v>
      </c>
      <c r="P26" s="19">
        <f>_xlfn.NORM.INV(RAND(),$B$3,$E$3)</f>
        <v>379</v>
      </c>
      <c r="Q26" s="19">
        <f>_xlfn.NORM.INV(RAND(),$B$3,$E$3)</f>
        <v>445</v>
      </c>
      <c r="R26" s="19">
        <f>_xlfn.NORM.INV(RAND(),$B$3,$E$3)</f>
        <v>415</v>
      </c>
      <c r="S26" s="19">
        <f>_xlfn.NORM.INV(RAND(),$B$3,$E$3)</f>
        <v>363</v>
      </c>
      <c r="T26" s="19">
        <f>_xlfn.NORM.INV(RAND(),$B$3,$E$3)</f>
        <v>382</v>
      </c>
      <c r="U26" s="19">
        <f>_xlfn.NORM.INV(RAND(),$B$3,$E$3)</f>
        <v>405</v>
      </c>
    </row>
    <row r="27" spans="1:21" x14ac:dyDescent="0.25">
      <c r="A27" s="17">
        <v>21</v>
      </c>
      <c r="B27" s="19">
        <f>_xlfn.NORM.INV(RAND(),$B$3,$E$3)</f>
        <v>414</v>
      </c>
      <c r="C27" s="19">
        <f>_xlfn.NORM.INV(RAND(),$B$3,$E$3)</f>
        <v>310</v>
      </c>
      <c r="D27" s="19">
        <f>_xlfn.NORM.INV(RAND(),$B$3,$E$3)</f>
        <v>455</v>
      </c>
      <c r="E27" s="19">
        <f>_xlfn.NORM.INV(RAND(),$B$3,$E$3)</f>
        <v>396</v>
      </c>
      <c r="F27" s="19">
        <f>_xlfn.NORM.INV(RAND(),$B$3,$E$3)</f>
        <v>450</v>
      </c>
      <c r="G27" s="19">
        <f>_xlfn.NORM.INV(RAND(),$B$3,$E$3)</f>
        <v>407</v>
      </c>
      <c r="H27" s="19">
        <f>_xlfn.NORM.INV(RAND(),$B$3,$E$3)</f>
        <v>408</v>
      </c>
      <c r="I27" s="19">
        <f>_xlfn.NORM.INV(RAND(),$B$3,$E$3)</f>
        <v>383</v>
      </c>
      <c r="J27" s="19">
        <f>_xlfn.NORM.INV(RAND(),$B$3,$E$3)</f>
        <v>402</v>
      </c>
      <c r="K27" s="19">
        <f>_xlfn.NORM.INV(RAND(),$B$3,$E$3)</f>
        <v>433</v>
      </c>
      <c r="L27" s="19">
        <f>_xlfn.NORM.INV(RAND(),$B$3,$E$3)</f>
        <v>390</v>
      </c>
      <c r="M27" s="19">
        <f>_xlfn.NORM.INV(RAND(),$B$3,$E$3)</f>
        <v>405</v>
      </c>
      <c r="N27" s="19">
        <f>_xlfn.NORM.INV(RAND(),$B$3,$E$3)</f>
        <v>339</v>
      </c>
      <c r="O27" s="19">
        <f>_xlfn.NORM.INV(RAND(),$B$3,$E$3)</f>
        <v>362</v>
      </c>
      <c r="P27" s="19">
        <f>_xlfn.NORM.INV(RAND(),$B$3,$E$3)</f>
        <v>387</v>
      </c>
      <c r="Q27" s="19">
        <f>_xlfn.NORM.INV(RAND(),$B$3,$E$3)</f>
        <v>400</v>
      </c>
      <c r="R27" s="19">
        <f>_xlfn.NORM.INV(RAND(),$B$3,$E$3)</f>
        <v>367</v>
      </c>
      <c r="S27" s="19">
        <f>_xlfn.NORM.INV(RAND(),$B$3,$E$3)</f>
        <v>383</v>
      </c>
      <c r="T27" s="19">
        <f>_xlfn.NORM.INV(RAND(),$B$3,$E$3)</f>
        <v>429</v>
      </c>
      <c r="U27" s="19">
        <f>_xlfn.NORM.INV(RAND(),$B$3,$E$3)</f>
        <v>388</v>
      </c>
    </row>
    <row r="28" spans="1:21" x14ac:dyDescent="0.25">
      <c r="A28" s="17">
        <v>22</v>
      </c>
      <c r="B28" s="19">
        <f>_xlfn.NORM.INV(RAND(),$B$3,$E$3)</f>
        <v>443</v>
      </c>
      <c r="C28" s="19">
        <f>_xlfn.NORM.INV(RAND(),$B$3,$E$3)</f>
        <v>385</v>
      </c>
      <c r="D28" s="19">
        <f>_xlfn.NORM.INV(RAND(),$B$3,$E$3)</f>
        <v>357</v>
      </c>
      <c r="E28" s="19">
        <f>_xlfn.NORM.INV(RAND(),$B$3,$E$3)</f>
        <v>399</v>
      </c>
      <c r="F28" s="19">
        <f>_xlfn.NORM.INV(RAND(),$B$3,$E$3)</f>
        <v>395</v>
      </c>
      <c r="G28" s="19">
        <f>_xlfn.NORM.INV(RAND(),$B$3,$E$3)</f>
        <v>345</v>
      </c>
      <c r="H28" s="19">
        <f>_xlfn.NORM.INV(RAND(),$B$3,$E$3)</f>
        <v>414</v>
      </c>
      <c r="I28" s="19">
        <f>_xlfn.NORM.INV(RAND(),$B$3,$E$3)</f>
        <v>470</v>
      </c>
      <c r="J28" s="19">
        <f>_xlfn.NORM.INV(RAND(),$B$3,$E$3)</f>
        <v>412</v>
      </c>
      <c r="K28" s="19">
        <f>_xlfn.NORM.INV(RAND(),$B$3,$E$3)</f>
        <v>440</v>
      </c>
      <c r="L28" s="19">
        <f>_xlfn.NORM.INV(RAND(),$B$3,$E$3)</f>
        <v>365</v>
      </c>
      <c r="M28" s="19">
        <f>_xlfn.NORM.INV(RAND(),$B$3,$E$3)</f>
        <v>360</v>
      </c>
      <c r="N28" s="19">
        <f>_xlfn.NORM.INV(RAND(),$B$3,$E$3)</f>
        <v>413</v>
      </c>
      <c r="O28" s="19">
        <f>_xlfn.NORM.INV(RAND(),$B$3,$E$3)</f>
        <v>390</v>
      </c>
      <c r="P28" s="19">
        <f>_xlfn.NORM.INV(RAND(),$B$3,$E$3)</f>
        <v>415</v>
      </c>
      <c r="Q28" s="19">
        <f>_xlfn.NORM.INV(RAND(),$B$3,$E$3)</f>
        <v>526</v>
      </c>
      <c r="R28" s="19">
        <f>_xlfn.NORM.INV(RAND(),$B$3,$E$3)</f>
        <v>445</v>
      </c>
      <c r="S28" s="19">
        <f>_xlfn.NORM.INV(RAND(),$B$3,$E$3)</f>
        <v>384</v>
      </c>
      <c r="T28" s="19">
        <f>_xlfn.NORM.INV(RAND(),$B$3,$E$3)</f>
        <v>440</v>
      </c>
      <c r="U28" s="19">
        <f>_xlfn.NORM.INV(RAND(),$B$3,$E$3)</f>
        <v>407</v>
      </c>
    </row>
    <row r="29" spans="1:21" x14ac:dyDescent="0.25">
      <c r="A29" s="17">
        <v>23</v>
      </c>
      <c r="B29" s="19">
        <f>_xlfn.NORM.INV(RAND(),$B$3,$E$3)</f>
        <v>361</v>
      </c>
      <c r="C29" s="19">
        <f>_xlfn.NORM.INV(RAND(),$B$3,$E$3)</f>
        <v>377</v>
      </c>
      <c r="D29" s="19">
        <f>_xlfn.NORM.INV(RAND(),$B$3,$E$3)</f>
        <v>375</v>
      </c>
      <c r="E29" s="19">
        <f>_xlfn.NORM.INV(RAND(),$B$3,$E$3)</f>
        <v>321</v>
      </c>
      <c r="F29" s="19">
        <f>_xlfn.NORM.INV(RAND(),$B$3,$E$3)</f>
        <v>404</v>
      </c>
      <c r="G29" s="19">
        <f>_xlfn.NORM.INV(RAND(),$B$3,$E$3)</f>
        <v>419</v>
      </c>
      <c r="H29" s="19">
        <f>_xlfn.NORM.INV(RAND(),$B$3,$E$3)</f>
        <v>418</v>
      </c>
      <c r="I29" s="19">
        <f>_xlfn.NORM.INV(RAND(),$B$3,$E$3)</f>
        <v>402</v>
      </c>
      <c r="J29" s="19">
        <f>_xlfn.NORM.INV(RAND(),$B$3,$E$3)</f>
        <v>418</v>
      </c>
      <c r="K29" s="19">
        <f>_xlfn.NORM.INV(RAND(),$B$3,$E$3)</f>
        <v>416</v>
      </c>
      <c r="L29" s="19">
        <f>_xlfn.NORM.INV(RAND(),$B$3,$E$3)</f>
        <v>407</v>
      </c>
      <c r="M29" s="19">
        <f>_xlfn.NORM.INV(RAND(),$B$3,$E$3)</f>
        <v>418</v>
      </c>
      <c r="N29" s="19">
        <f>_xlfn.NORM.INV(RAND(),$B$3,$E$3)</f>
        <v>321</v>
      </c>
      <c r="O29" s="19">
        <f>_xlfn.NORM.INV(RAND(),$B$3,$E$3)</f>
        <v>336</v>
      </c>
      <c r="P29" s="19">
        <f>_xlfn.NORM.INV(RAND(),$B$3,$E$3)</f>
        <v>374</v>
      </c>
      <c r="Q29" s="19">
        <f>_xlfn.NORM.INV(RAND(),$B$3,$E$3)</f>
        <v>392</v>
      </c>
      <c r="R29" s="19">
        <f>_xlfn.NORM.INV(RAND(),$B$3,$E$3)</f>
        <v>339</v>
      </c>
      <c r="S29" s="19">
        <f>_xlfn.NORM.INV(RAND(),$B$3,$E$3)</f>
        <v>440</v>
      </c>
      <c r="T29" s="19">
        <f>_xlfn.NORM.INV(RAND(),$B$3,$E$3)</f>
        <v>325</v>
      </c>
      <c r="U29" s="19">
        <f>_xlfn.NORM.INV(RAND(),$B$3,$E$3)</f>
        <v>368</v>
      </c>
    </row>
    <row r="30" spans="1:21" x14ac:dyDescent="0.25">
      <c r="A30" s="17">
        <v>24</v>
      </c>
      <c r="B30" s="19">
        <f>_xlfn.NORM.INV(RAND(),$B$3,$E$3)</f>
        <v>443</v>
      </c>
      <c r="C30" s="19">
        <f>_xlfn.NORM.INV(RAND(),$B$3,$E$3)</f>
        <v>395</v>
      </c>
      <c r="D30" s="19">
        <f>_xlfn.NORM.INV(RAND(),$B$3,$E$3)</f>
        <v>377</v>
      </c>
      <c r="E30" s="19">
        <f>_xlfn.NORM.INV(RAND(),$B$3,$E$3)</f>
        <v>386</v>
      </c>
      <c r="F30" s="19">
        <f>_xlfn.NORM.INV(RAND(),$B$3,$E$3)</f>
        <v>368</v>
      </c>
      <c r="G30" s="19">
        <f>_xlfn.NORM.INV(RAND(),$B$3,$E$3)</f>
        <v>393</v>
      </c>
      <c r="H30" s="19">
        <f>_xlfn.NORM.INV(RAND(),$B$3,$E$3)</f>
        <v>420</v>
      </c>
      <c r="I30" s="19">
        <f>_xlfn.NORM.INV(RAND(),$B$3,$E$3)</f>
        <v>377</v>
      </c>
      <c r="J30" s="19">
        <f>_xlfn.NORM.INV(RAND(),$B$3,$E$3)</f>
        <v>389</v>
      </c>
      <c r="K30" s="19">
        <f>_xlfn.NORM.INV(RAND(),$B$3,$E$3)</f>
        <v>405</v>
      </c>
      <c r="L30" s="19">
        <f>_xlfn.NORM.INV(RAND(),$B$3,$E$3)</f>
        <v>394</v>
      </c>
      <c r="M30" s="19">
        <f>_xlfn.NORM.INV(RAND(),$B$3,$E$3)</f>
        <v>358</v>
      </c>
      <c r="N30" s="19">
        <f>_xlfn.NORM.INV(RAND(),$B$3,$E$3)</f>
        <v>355</v>
      </c>
      <c r="O30" s="19">
        <f>_xlfn.NORM.INV(RAND(),$B$3,$E$3)</f>
        <v>412</v>
      </c>
      <c r="P30" s="19">
        <f>_xlfn.NORM.INV(RAND(),$B$3,$E$3)</f>
        <v>443</v>
      </c>
      <c r="Q30" s="19">
        <f>_xlfn.NORM.INV(RAND(),$B$3,$E$3)</f>
        <v>424</v>
      </c>
      <c r="R30" s="19">
        <f>_xlfn.NORM.INV(RAND(),$B$3,$E$3)</f>
        <v>353</v>
      </c>
      <c r="S30" s="19">
        <f>_xlfn.NORM.INV(RAND(),$B$3,$E$3)</f>
        <v>418</v>
      </c>
      <c r="T30" s="19">
        <f>_xlfn.NORM.INV(RAND(),$B$3,$E$3)</f>
        <v>451</v>
      </c>
      <c r="U30" s="19">
        <f>_xlfn.NORM.INV(RAND(),$B$3,$E$3)</f>
        <v>413</v>
      </c>
    </row>
    <row r="31" spans="1:21" x14ac:dyDescent="0.25">
      <c r="A31" s="17">
        <v>25</v>
      </c>
      <c r="B31" s="19">
        <f>_xlfn.NORM.INV(RAND(),$B$3,$E$3)</f>
        <v>349</v>
      </c>
      <c r="C31" s="19">
        <f>_xlfn.NORM.INV(RAND(),$B$3,$E$3)</f>
        <v>405</v>
      </c>
      <c r="D31" s="19">
        <f>_xlfn.NORM.INV(RAND(),$B$3,$E$3)</f>
        <v>398</v>
      </c>
      <c r="E31" s="19">
        <f>_xlfn.NORM.INV(RAND(),$B$3,$E$3)</f>
        <v>382</v>
      </c>
      <c r="F31" s="19">
        <f>_xlfn.NORM.INV(RAND(),$B$3,$E$3)</f>
        <v>288</v>
      </c>
      <c r="G31" s="19">
        <f>_xlfn.NORM.INV(RAND(),$B$3,$E$3)</f>
        <v>380</v>
      </c>
      <c r="H31" s="19">
        <f>_xlfn.NORM.INV(RAND(),$B$3,$E$3)</f>
        <v>431</v>
      </c>
      <c r="I31" s="19">
        <f>_xlfn.NORM.INV(RAND(),$B$3,$E$3)</f>
        <v>401</v>
      </c>
      <c r="J31" s="19">
        <f>_xlfn.NORM.INV(RAND(),$B$3,$E$3)</f>
        <v>412</v>
      </c>
      <c r="K31" s="19">
        <f>_xlfn.NORM.INV(RAND(),$B$3,$E$3)</f>
        <v>449</v>
      </c>
      <c r="L31" s="19">
        <f>_xlfn.NORM.INV(RAND(),$B$3,$E$3)</f>
        <v>424</v>
      </c>
      <c r="M31" s="19">
        <f>_xlfn.NORM.INV(RAND(),$B$3,$E$3)</f>
        <v>361</v>
      </c>
      <c r="N31" s="19">
        <f>_xlfn.NORM.INV(RAND(),$B$3,$E$3)</f>
        <v>442</v>
      </c>
      <c r="O31" s="19">
        <f>_xlfn.NORM.INV(RAND(),$B$3,$E$3)</f>
        <v>385</v>
      </c>
      <c r="P31" s="19">
        <f>_xlfn.NORM.INV(RAND(),$B$3,$E$3)</f>
        <v>387</v>
      </c>
      <c r="Q31" s="19">
        <f>_xlfn.NORM.INV(RAND(),$B$3,$E$3)</f>
        <v>392</v>
      </c>
      <c r="R31" s="19">
        <f>_xlfn.NORM.INV(RAND(),$B$3,$E$3)</f>
        <v>364</v>
      </c>
      <c r="S31" s="19">
        <f>_xlfn.NORM.INV(RAND(),$B$3,$E$3)</f>
        <v>382</v>
      </c>
      <c r="T31" s="19">
        <f>_xlfn.NORM.INV(RAND(),$B$3,$E$3)</f>
        <v>397</v>
      </c>
      <c r="U31" s="19">
        <f>_xlfn.NORM.INV(RAND(),$B$3,$E$3)</f>
        <v>333</v>
      </c>
    </row>
    <row r="32" spans="1:21" x14ac:dyDescent="0.25">
      <c r="A32" s="17">
        <v>26</v>
      </c>
      <c r="B32" s="19">
        <f>_xlfn.NORM.INV(RAND(),$B$3,$E$3)</f>
        <v>378</v>
      </c>
      <c r="C32" s="19">
        <f>_xlfn.NORM.INV(RAND(),$B$3,$E$3)</f>
        <v>396</v>
      </c>
      <c r="D32" s="19">
        <f>_xlfn.NORM.INV(RAND(),$B$3,$E$3)</f>
        <v>413</v>
      </c>
      <c r="E32" s="19">
        <f>_xlfn.NORM.INV(RAND(),$B$3,$E$3)</f>
        <v>374</v>
      </c>
      <c r="F32" s="19">
        <f>_xlfn.NORM.INV(RAND(),$B$3,$E$3)</f>
        <v>396</v>
      </c>
      <c r="G32" s="19">
        <f>_xlfn.NORM.INV(RAND(),$B$3,$E$3)</f>
        <v>419</v>
      </c>
      <c r="H32" s="19">
        <f>_xlfn.NORM.INV(RAND(),$B$3,$E$3)</f>
        <v>353</v>
      </c>
      <c r="I32" s="19">
        <f>_xlfn.NORM.INV(RAND(),$B$3,$E$3)</f>
        <v>416</v>
      </c>
      <c r="J32" s="19">
        <f>_xlfn.NORM.INV(RAND(),$B$3,$E$3)</f>
        <v>385</v>
      </c>
      <c r="K32" s="19">
        <f>_xlfn.NORM.INV(RAND(),$B$3,$E$3)</f>
        <v>445</v>
      </c>
      <c r="L32" s="19">
        <f>_xlfn.NORM.INV(RAND(),$B$3,$E$3)</f>
        <v>404</v>
      </c>
      <c r="M32" s="19">
        <f>_xlfn.NORM.INV(RAND(),$B$3,$E$3)</f>
        <v>420</v>
      </c>
      <c r="N32" s="19">
        <f>_xlfn.NORM.INV(RAND(),$B$3,$E$3)</f>
        <v>354</v>
      </c>
      <c r="O32" s="19">
        <f>_xlfn.NORM.INV(RAND(),$B$3,$E$3)</f>
        <v>378</v>
      </c>
      <c r="P32" s="19">
        <f>_xlfn.NORM.INV(RAND(),$B$3,$E$3)</f>
        <v>343</v>
      </c>
      <c r="Q32" s="19">
        <f>_xlfn.NORM.INV(RAND(),$B$3,$E$3)</f>
        <v>485</v>
      </c>
      <c r="R32" s="19">
        <f>_xlfn.NORM.INV(RAND(),$B$3,$E$3)</f>
        <v>415</v>
      </c>
      <c r="S32" s="19">
        <f>_xlfn.NORM.INV(RAND(),$B$3,$E$3)</f>
        <v>392</v>
      </c>
      <c r="T32" s="19">
        <f>_xlfn.NORM.INV(RAND(),$B$3,$E$3)</f>
        <v>386</v>
      </c>
      <c r="U32" s="19">
        <f>_xlfn.NORM.INV(RAND(),$B$3,$E$3)</f>
        <v>385</v>
      </c>
    </row>
    <row r="33" spans="1:21" x14ac:dyDescent="0.25">
      <c r="A33" s="17">
        <v>27</v>
      </c>
      <c r="B33" s="19">
        <f>_xlfn.NORM.INV(RAND(),$B$3,$E$3)</f>
        <v>439</v>
      </c>
      <c r="C33" s="19">
        <f>_xlfn.NORM.INV(RAND(),$B$3,$E$3)</f>
        <v>458</v>
      </c>
      <c r="D33" s="19">
        <f>_xlfn.NORM.INV(RAND(),$B$3,$E$3)</f>
        <v>415</v>
      </c>
      <c r="E33" s="19">
        <f>_xlfn.NORM.INV(RAND(),$B$3,$E$3)</f>
        <v>337</v>
      </c>
      <c r="F33" s="19">
        <f>_xlfn.NORM.INV(RAND(),$B$3,$E$3)</f>
        <v>384</v>
      </c>
      <c r="G33" s="19">
        <f>_xlfn.NORM.INV(RAND(),$B$3,$E$3)</f>
        <v>339</v>
      </c>
      <c r="H33" s="19">
        <f>_xlfn.NORM.INV(RAND(),$B$3,$E$3)</f>
        <v>380</v>
      </c>
      <c r="I33" s="19">
        <f>_xlfn.NORM.INV(RAND(),$B$3,$E$3)</f>
        <v>347</v>
      </c>
      <c r="J33" s="19">
        <f>_xlfn.NORM.INV(RAND(),$B$3,$E$3)</f>
        <v>322</v>
      </c>
      <c r="K33" s="19">
        <f>_xlfn.NORM.INV(RAND(),$B$3,$E$3)</f>
        <v>345</v>
      </c>
      <c r="L33" s="19">
        <f>_xlfn.NORM.INV(RAND(),$B$3,$E$3)</f>
        <v>357</v>
      </c>
      <c r="M33" s="19">
        <f>_xlfn.NORM.INV(RAND(),$B$3,$E$3)</f>
        <v>398</v>
      </c>
      <c r="N33" s="19">
        <f>_xlfn.NORM.INV(RAND(),$B$3,$E$3)</f>
        <v>374</v>
      </c>
      <c r="O33" s="19">
        <f>_xlfn.NORM.INV(RAND(),$B$3,$E$3)</f>
        <v>380</v>
      </c>
      <c r="P33" s="19">
        <f>_xlfn.NORM.INV(RAND(),$B$3,$E$3)</f>
        <v>371</v>
      </c>
      <c r="Q33" s="19">
        <f>_xlfn.NORM.INV(RAND(),$B$3,$E$3)</f>
        <v>406</v>
      </c>
      <c r="R33" s="19">
        <f>_xlfn.NORM.INV(RAND(),$B$3,$E$3)</f>
        <v>380</v>
      </c>
      <c r="S33" s="19">
        <f>_xlfn.NORM.INV(RAND(),$B$3,$E$3)</f>
        <v>369</v>
      </c>
      <c r="T33" s="19">
        <f>_xlfn.NORM.INV(RAND(),$B$3,$E$3)</f>
        <v>379</v>
      </c>
      <c r="U33" s="19">
        <f>_xlfn.NORM.INV(RAND(),$B$3,$E$3)</f>
        <v>421</v>
      </c>
    </row>
    <row r="34" spans="1:21" x14ac:dyDescent="0.25">
      <c r="A34" s="17">
        <v>28</v>
      </c>
      <c r="B34" s="19">
        <f>_xlfn.NORM.INV(RAND(),$B$3,$E$3)</f>
        <v>398</v>
      </c>
      <c r="C34" s="19">
        <f>_xlfn.NORM.INV(RAND(),$B$3,$E$3)</f>
        <v>353</v>
      </c>
      <c r="D34" s="19">
        <f>_xlfn.NORM.INV(RAND(),$B$3,$E$3)</f>
        <v>379</v>
      </c>
      <c r="E34" s="19">
        <f>_xlfn.NORM.INV(RAND(),$B$3,$E$3)</f>
        <v>404</v>
      </c>
      <c r="F34" s="19">
        <f>_xlfn.NORM.INV(RAND(),$B$3,$E$3)</f>
        <v>403</v>
      </c>
      <c r="G34" s="19">
        <f>_xlfn.NORM.INV(RAND(),$B$3,$E$3)</f>
        <v>414</v>
      </c>
      <c r="H34" s="19">
        <f>_xlfn.NORM.INV(RAND(),$B$3,$E$3)</f>
        <v>437</v>
      </c>
      <c r="I34" s="19">
        <f>_xlfn.NORM.INV(RAND(),$B$3,$E$3)</f>
        <v>415</v>
      </c>
      <c r="J34" s="19">
        <f>_xlfn.NORM.INV(RAND(),$B$3,$E$3)</f>
        <v>394</v>
      </c>
      <c r="K34" s="19">
        <f>_xlfn.NORM.INV(RAND(),$B$3,$E$3)</f>
        <v>411</v>
      </c>
      <c r="L34" s="19">
        <f>_xlfn.NORM.INV(RAND(),$B$3,$E$3)</f>
        <v>368</v>
      </c>
      <c r="M34" s="19">
        <f>_xlfn.NORM.INV(RAND(),$B$3,$E$3)</f>
        <v>408</v>
      </c>
      <c r="N34" s="19">
        <f>_xlfn.NORM.INV(RAND(),$B$3,$E$3)</f>
        <v>409</v>
      </c>
      <c r="O34" s="19">
        <f>_xlfn.NORM.INV(RAND(),$B$3,$E$3)</f>
        <v>352</v>
      </c>
      <c r="P34" s="19">
        <f>_xlfn.NORM.INV(RAND(),$B$3,$E$3)</f>
        <v>377</v>
      </c>
      <c r="Q34" s="19">
        <f>_xlfn.NORM.INV(RAND(),$B$3,$E$3)</f>
        <v>395</v>
      </c>
      <c r="R34" s="19">
        <f>_xlfn.NORM.INV(RAND(),$B$3,$E$3)</f>
        <v>370</v>
      </c>
      <c r="S34" s="19">
        <f>_xlfn.NORM.INV(RAND(),$B$3,$E$3)</f>
        <v>372</v>
      </c>
      <c r="T34" s="19">
        <f>_xlfn.NORM.INV(RAND(),$B$3,$E$3)</f>
        <v>437</v>
      </c>
      <c r="U34" s="19">
        <f>_xlfn.NORM.INV(RAND(),$B$3,$E$3)</f>
        <v>431</v>
      </c>
    </row>
    <row r="35" spans="1:21" x14ac:dyDescent="0.25">
      <c r="A35" s="17">
        <v>29</v>
      </c>
      <c r="B35" s="19">
        <f>_xlfn.NORM.INV(RAND(),$B$3,$E$3)</f>
        <v>405</v>
      </c>
      <c r="C35" s="19">
        <f>_xlfn.NORM.INV(RAND(),$B$3,$E$3)</f>
        <v>448</v>
      </c>
      <c r="D35" s="19">
        <f>_xlfn.NORM.INV(RAND(),$B$3,$E$3)</f>
        <v>356</v>
      </c>
      <c r="E35" s="19">
        <f>_xlfn.NORM.INV(RAND(),$B$3,$E$3)</f>
        <v>439</v>
      </c>
      <c r="F35" s="19">
        <f>_xlfn.NORM.INV(RAND(),$B$3,$E$3)</f>
        <v>339</v>
      </c>
      <c r="G35" s="19">
        <f>_xlfn.NORM.INV(RAND(),$B$3,$E$3)</f>
        <v>401</v>
      </c>
      <c r="H35" s="19">
        <f>_xlfn.NORM.INV(RAND(),$B$3,$E$3)</f>
        <v>472</v>
      </c>
      <c r="I35" s="19">
        <f>_xlfn.NORM.INV(RAND(),$B$3,$E$3)</f>
        <v>377</v>
      </c>
      <c r="J35" s="19">
        <f>_xlfn.NORM.INV(RAND(),$B$3,$E$3)</f>
        <v>373</v>
      </c>
      <c r="K35" s="19">
        <f>_xlfn.NORM.INV(RAND(),$B$3,$E$3)</f>
        <v>424</v>
      </c>
      <c r="L35" s="19">
        <f>_xlfn.NORM.INV(RAND(),$B$3,$E$3)</f>
        <v>390</v>
      </c>
      <c r="M35" s="19">
        <f>_xlfn.NORM.INV(RAND(),$B$3,$E$3)</f>
        <v>424</v>
      </c>
      <c r="N35" s="19">
        <f>_xlfn.NORM.INV(RAND(),$B$3,$E$3)</f>
        <v>384</v>
      </c>
      <c r="O35" s="19">
        <f>_xlfn.NORM.INV(RAND(),$B$3,$E$3)</f>
        <v>414</v>
      </c>
      <c r="P35" s="19">
        <f>_xlfn.NORM.INV(RAND(),$B$3,$E$3)</f>
        <v>336</v>
      </c>
      <c r="Q35" s="19">
        <f>_xlfn.NORM.INV(RAND(),$B$3,$E$3)</f>
        <v>374</v>
      </c>
      <c r="R35" s="19">
        <f>_xlfn.NORM.INV(RAND(),$B$3,$E$3)</f>
        <v>407</v>
      </c>
      <c r="S35" s="19">
        <f>_xlfn.NORM.INV(RAND(),$B$3,$E$3)</f>
        <v>421</v>
      </c>
      <c r="T35" s="19">
        <f>_xlfn.NORM.INV(RAND(),$B$3,$E$3)</f>
        <v>422</v>
      </c>
      <c r="U35" s="19">
        <f>_xlfn.NORM.INV(RAND(),$B$3,$E$3)</f>
        <v>391</v>
      </c>
    </row>
    <row r="36" spans="1:21" x14ac:dyDescent="0.25">
      <c r="A36" s="17">
        <v>30</v>
      </c>
      <c r="B36" s="19">
        <f>_xlfn.NORM.INV(RAND(),$B$3,$E$3)</f>
        <v>376</v>
      </c>
      <c r="C36" s="19">
        <f>_xlfn.NORM.INV(RAND(),$B$3,$E$3)</f>
        <v>412</v>
      </c>
      <c r="D36" s="19">
        <f>_xlfn.NORM.INV(RAND(),$B$3,$E$3)</f>
        <v>366</v>
      </c>
      <c r="E36" s="19">
        <f>_xlfn.NORM.INV(RAND(),$B$3,$E$3)</f>
        <v>340</v>
      </c>
      <c r="F36" s="19">
        <f>_xlfn.NORM.INV(RAND(),$B$3,$E$3)</f>
        <v>465</v>
      </c>
      <c r="G36" s="19">
        <f>_xlfn.NORM.INV(RAND(),$B$3,$E$3)</f>
        <v>459</v>
      </c>
      <c r="H36" s="19">
        <f>_xlfn.NORM.INV(RAND(),$B$3,$E$3)</f>
        <v>402</v>
      </c>
      <c r="I36" s="19">
        <f>_xlfn.NORM.INV(RAND(),$B$3,$E$3)</f>
        <v>371</v>
      </c>
      <c r="J36" s="19">
        <f>_xlfn.NORM.INV(RAND(),$B$3,$E$3)</f>
        <v>422</v>
      </c>
      <c r="K36" s="19">
        <f>_xlfn.NORM.INV(RAND(),$B$3,$E$3)</f>
        <v>402</v>
      </c>
      <c r="L36" s="19">
        <f>_xlfn.NORM.INV(RAND(),$B$3,$E$3)</f>
        <v>426</v>
      </c>
      <c r="M36" s="19">
        <f>_xlfn.NORM.INV(RAND(),$B$3,$E$3)</f>
        <v>352</v>
      </c>
      <c r="N36" s="19">
        <f>_xlfn.NORM.INV(RAND(),$B$3,$E$3)</f>
        <v>409</v>
      </c>
      <c r="O36" s="19">
        <f>_xlfn.NORM.INV(RAND(),$B$3,$E$3)</f>
        <v>425</v>
      </c>
      <c r="P36" s="19">
        <f>_xlfn.NORM.INV(RAND(),$B$3,$E$3)</f>
        <v>418</v>
      </c>
      <c r="Q36" s="19">
        <f>_xlfn.NORM.INV(RAND(),$B$3,$E$3)</f>
        <v>404</v>
      </c>
      <c r="R36" s="19">
        <f>_xlfn.NORM.INV(RAND(),$B$3,$E$3)</f>
        <v>369</v>
      </c>
      <c r="S36" s="19">
        <f>_xlfn.NORM.INV(RAND(),$B$3,$E$3)</f>
        <v>410</v>
      </c>
      <c r="T36" s="19">
        <f>_xlfn.NORM.INV(RAND(),$B$3,$E$3)</f>
        <v>387</v>
      </c>
      <c r="U36" s="19">
        <f>_xlfn.NORM.INV(RAND(),$B$3,$E$3)</f>
        <v>383</v>
      </c>
    </row>
    <row r="37" spans="1:21" x14ac:dyDescent="0.25">
      <c r="A37" s="17">
        <v>31</v>
      </c>
      <c r="B37" s="19">
        <f>_xlfn.NORM.INV(RAND(),$B$3,$E$3)</f>
        <v>364</v>
      </c>
      <c r="C37" s="19">
        <f>_xlfn.NORM.INV(RAND(),$B$3,$E$3)</f>
        <v>473</v>
      </c>
      <c r="D37" s="19">
        <f>_xlfn.NORM.INV(RAND(),$B$3,$E$3)</f>
        <v>469</v>
      </c>
      <c r="E37" s="19">
        <f>_xlfn.NORM.INV(RAND(),$B$3,$E$3)</f>
        <v>406</v>
      </c>
      <c r="F37" s="19">
        <f>_xlfn.NORM.INV(RAND(),$B$3,$E$3)</f>
        <v>405</v>
      </c>
      <c r="G37" s="19">
        <f>_xlfn.NORM.INV(RAND(),$B$3,$E$3)</f>
        <v>415</v>
      </c>
      <c r="H37" s="19">
        <f>_xlfn.NORM.INV(RAND(),$B$3,$E$3)</f>
        <v>412</v>
      </c>
      <c r="I37" s="19">
        <f>_xlfn.NORM.INV(RAND(),$B$3,$E$3)</f>
        <v>392</v>
      </c>
      <c r="J37" s="19">
        <f>_xlfn.NORM.INV(RAND(),$B$3,$E$3)</f>
        <v>363</v>
      </c>
      <c r="K37" s="19">
        <f>_xlfn.NORM.INV(RAND(),$B$3,$E$3)</f>
        <v>388</v>
      </c>
      <c r="L37" s="19">
        <f>_xlfn.NORM.INV(RAND(),$B$3,$E$3)</f>
        <v>400</v>
      </c>
      <c r="M37" s="19">
        <f>_xlfn.NORM.INV(RAND(),$B$3,$E$3)</f>
        <v>436</v>
      </c>
      <c r="N37" s="19">
        <f>_xlfn.NORM.INV(RAND(),$B$3,$E$3)</f>
        <v>380</v>
      </c>
      <c r="O37" s="19">
        <f>_xlfn.NORM.INV(RAND(),$B$3,$E$3)</f>
        <v>378</v>
      </c>
      <c r="P37" s="19">
        <f>_xlfn.NORM.INV(RAND(),$B$3,$E$3)</f>
        <v>464</v>
      </c>
      <c r="Q37" s="19">
        <f>_xlfn.NORM.INV(RAND(),$B$3,$E$3)</f>
        <v>366</v>
      </c>
      <c r="R37" s="19">
        <f>_xlfn.NORM.INV(RAND(),$B$3,$E$3)</f>
        <v>393</v>
      </c>
      <c r="S37" s="19">
        <f>_xlfn.NORM.INV(RAND(),$B$3,$E$3)</f>
        <v>349</v>
      </c>
      <c r="T37" s="19">
        <f>_xlfn.NORM.INV(RAND(),$B$3,$E$3)</f>
        <v>405</v>
      </c>
      <c r="U37" s="19">
        <f>_xlfn.NORM.INV(RAND(),$B$3,$E$3)</f>
        <v>383</v>
      </c>
    </row>
    <row r="38" spans="1:21" x14ac:dyDescent="0.25">
      <c r="A38" s="17">
        <v>32</v>
      </c>
      <c r="B38" s="19">
        <f>_xlfn.NORM.INV(RAND(),$B$3,$E$3)</f>
        <v>455</v>
      </c>
      <c r="C38" s="19">
        <f>_xlfn.NORM.INV(RAND(),$B$3,$E$3)</f>
        <v>357</v>
      </c>
      <c r="D38" s="19">
        <f>_xlfn.NORM.INV(RAND(),$B$3,$E$3)</f>
        <v>353</v>
      </c>
      <c r="E38" s="19">
        <f>_xlfn.NORM.INV(RAND(),$B$3,$E$3)</f>
        <v>403</v>
      </c>
      <c r="F38" s="19">
        <f>_xlfn.NORM.INV(RAND(),$B$3,$E$3)</f>
        <v>410</v>
      </c>
      <c r="G38" s="19">
        <f>_xlfn.NORM.INV(RAND(),$B$3,$E$3)</f>
        <v>391</v>
      </c>
      <c r="H38" s="19">
        <f>_xlfn.NORM.INV(RAND(),$B$3,$E$3)</f>
        <v>379</v>
      </c>
      <c r="I38" s="19">
        <f>_xlfn.NORM.INV(RAND(),$B$3,$E$3)</f>
        <v>493</v>
      </c>
      <c r="J38" s="19">
        <f>_xlfn.NORM.INV(RAND(),$B$3,$E$3)</f>
        <v>338</v>
      </c>
      <c r="K38" s="19">
        <f>_xlfn.NORM.INV(RAND(),$B$3,$E$3)</f>
        <v>381</v>
      </c>
      <c r="L38" s="19">
        <f>_xlfn.NORM.INV(RAND(),$B$3,$E$3)</f>
        <v>414</v>
      </c>
      <c r="M38" s="19">
        <f>_xlfn.NORM.INV(RAND(),$B$3,$E$3)</f>
        <v>363</v>
      </c>
      <c r="N38" s="19">
        <f>_xlfn.NORM.INV(RAND(),$B$3,$E$3)</f>
        <v>476</v>
      </c>
      <c r="O38" s="19">
        <f>_xlfn.NORM.INV(RAND(),$B$3,$E$3)</f>
        <v>367</v>
      </c>
      <c r="P38" s="19">
        <f>_xlfn.NORM.INV(RAND(),$B$3,$E$3)</f>
        <v>333</v>
      </c>
      <c r="Q38" s="19">
        <f>_xlfn.NORM.INV(RAND(),$B$3,$E$3)</f>
        <v>379</v>
      </c>
      <c r="R38" s="19">
        <f>_xlfn.NORM.INV(RAND(),$B$3,$E$3)</f>
        <v>367</v>
      </c>
      <c r="S38" s="19">
        <f>_xlfn.NORM.INV(RAND(),$B$3,$E$3)</f>
        <v>356</v>
      </c>
      <c r="T38" s="19">
        <f>_xlfn.NORM.INV(RAND(),$B$3,$E$3)</f>
        <v>328</v>
      </c>
      <c r="U38" s="19">
        <f>_xlfn.NORM.INV(RAND(),$B$3,$E$3)</f>
        <v>321</v>
      </c>
    </row>
    <row r="39" spans="1:21" x14ac:dyDescent="0.25">
      <c r="A39" s="17">
        <v>33</v>
      </c>
      <c r="B39" s="19">
        <f>_xlfn.NORM.INV(RAND(),$B$3,$E$3)</f>
        <v>386</v>
      </c>
      <c r="C39" s="19">
        <f>_xlfn.NORM.INV(RAND(),$B$3,$E$3)</f>
        <v>384</v>
      </c>
      <c r="D39" s="19">
        <f>_xlfn.NORM.INV(RAND(),$B$3,$E$3)</f>
        <v>409</v>
      </c>
      <c r="E39" s="19">
        <f>_xlfn.NORM.INV(RAND(),$B$3,$E$3)</f>
        <v>378</v>
      </c>
      <c r="F39" s="19">
        <f>_xlfn.NORM.INV(RAND(),$B$3,$E$3)</f>
        <v>366</v>
      </c>
      <c r="G39" s="19">
        <f>_xlfn.NORM.INV(RAND(),$B$3,$E$3)</f>
        <v>442</v>
      </c>
      <c r="H39" s="19">
        <f>_xlfn.NORM.INV(RAND(),$B$3,$E$3)</f>
        <v>358</v>
      </c>
      <c r="I39" s="19">
        <f>_xlfn.NORM.INV(RAND(),$B$3,$E$3)</f>
        <v>374</v>
      </c>
      <c r="J39" s="19">
        <f>_xlfn.NORM.INV(RAND(),$B$3,$E$3)</f>
        <v>371</v>
      </c>
      <c r="K39" s="19">
        <f>_xlfn.NORM.INV(RAND(),$B$3,$E$3)</f>
        <v>464</v>
      </c>
      <c r="L39" s="19">
        <f>_xlfn.NORM.INV(RAND(),$B$3,$E$3)</f>
        <v>448</v>
      </c>
      <c r="M39" s="19">
        <f>_xlfn.NORM.INV(RAND(),$B$3,$E$3)</f>
        <v>402</v>
      </c>
      <c r="N39" s="19">
        <f>_xlfn.NORM.INV(RAND(),$B$3,$E$3)</f>
        <v>316</v>
      </c>
      <c r="O39" s="19">
        <f>_xlfn.NORM.INV(RAND(),$B$3,$E$3)</f>
        <v>323</v>
      </c>
      <c r="P39" s="19">
        <f>_xlfn.NORM.INV(RAND(),$B$3,$E$3)</f>
        <v>411</v>
      </c>
      <c r="Q39" s="19">
        <f>_xlfn.NORM.INV(RAND(),$B$3,$E$3)</f>
        <v>431</v>
      </c>
      <c r="R39" s="19">
        <f>_xlfn.NORM.INV(RAND(),$B$3,$E$3)</f>
        <v>388</v>
      </c>
      <c r="S39" s="19">
        <f>_xlfn.NORM.INV(RAND(),$B$3,$E$3)</f>
        <v>366</v>
      </c>
      <c r="T39" s="19">
        <f>_xlfn.NORM.INV(RAND(),$B$3,$E$3)</f>
        <v>396</v>
      </c>
      <c r="U39" s="19">
        <f>_xlfn.NORM.INV(RAND(),$B$3,$E$3)</f>
        <v>346</v>
      </c>
    </row>
    <row r="40" spans="1:21" x14ac:dyDescent="0.25">
      <c r="A40" s="17">
        <v>34</v>
      </c>
      <c r="B40" s="19">
        <f>_xlfn.NORM.INV(RAND(),$B$3,$E$3)</f>
        <v>408</v>
      </c>
      <c r="C40" s="19">
        <f>_xlfn.NORM.INV(RAND(),$B$3,$E$3)</f>
        <v>398</v>
      </c>
      <c r="D40" s="19">
        <f>_xlfn.NORM.INV(RAND(),$B$3,$E$3)</f>
        <v>347</v>
      </c>
      <c r="E40" s="19">
        <f>_xlfn.NORM.INV(RAND(),$B$3,$E$3)</f>
        <v>438</v>
      </c>
      <c r="F40" s="19">
        <f>_xlfn.NORM.INV(RAND(),$B$3,$E$3)</f>
        <v>414</v>
      </c>
      <c r="G40" s="19">
        <f>_xlfn.NORM.INV(RAND(),$B$3,$E$3)</f>
        <v>394</v>
      </c>
      <c r="H40" s="19">
        <f>_xlfn.NORM.INV(RAND(),$B$3,$E$3)</f>
        <v>421</v>
      </c>
      <c r="I40" s="19">
        <f>_xlfn.NORM.INV(RAND(),$B$3,$E$3)</f>
        <v>393</v>
      </c>
      <c r="J40" s="19">
        <f>_xlfn.NORM.INV(RAND(),$B$3,$E$3)</f>
        <v>402</v>
      </c>
      <c r="K40" s="19">
        <f>_xlfn.NORM.INV(RAND(),$B$3,$E$3)</f>
        <v>466</v>
      </c>
      <c r="L40" s="19">
        <f>_xlfn.NORM.INV(RAND(),$B$3,$E$3)</f>
        <v>351</v>
      </c>
      <c r="M40" s="19">
        <f>_xlfn.NORM.INV(RAND(),$B$3,$E$3)</f>
        <v>386</v>
      </c>
      <c r="N40" s="19">
        <f>_xlfn.NORM.INV(RAND(),$B$3,$E$3)</f>
        <v>440</v>
      </c>
      <c r="O40" s="19">
        <f>_xlfn.NORM.INV(RAND(),$B$3,$E$3)</f>
        <v>412</v>
      </c>
      <c r="P40" s="19">
        <f>_xlfn.NORM.INV(RAND(),$B$3,$E$3)</f>
        <v>406</v>
      </c>
      <c r="Q40" s="19">
        <f>_xlfn.NORM.INV(RAND(),$B$3,$E$3)</f>
        <v>405</v>
      </c>
      <c r="R40" s="19">
        <f>_xlfn.NORM.INV(RAND(),$B$3,$E$3)</f>
        <v>400</v>
      </c>
      <c r="S40" s="19">
        <f>_xlfn.NORM.INV(RAND(),$B$3,$E$3)</f>
        <v>353</v>
      </c>
      <c r="T40" s="19">
        <f>_xlfn.NORM.INV(RAND(),$B$3,$E$3)</f>
        <v>416</v>
      </c>
      <c r="U40" s="19">
        <f>_xlfn.NORM.INV(RAND(),$B$3,$E$3)</f>
        <v>413</v>
      </c>
    </row>
    <row r="41" spans="1:21" x14ac:dyDescent="0.25">
      <c r="A41" s="17">
        <v>35</v>
      </c>
      <c r="B41" s="19">
        <f>_xlfn.NORM.INV(RAND(),$B$3,$E$3)</f>
        <v>433</v>
      </c>
      <c r="C41" s="19">
        <f>_xlfn.NORM.INV(RAND(),$B$3,$E$3)</f>
        <v>416</v>
      </c>
      <c r="D41" s="19">
        <f>_xlfn.NORM.INV(RAND(),$B$3,$E$3)</f>
        <v>393</v>
      </c>
      <c r="E41" s="19">
        <f>_xlfn.NORM.INV(RAND(),$B$3,$E$3)</f>
        <v>392</v>
      </c>
      <c r="F41" s="19">
        <f>_xlfn.NORM.INV(RAND(),$B$3,$E$3)</f>
        <v>348</v>
      </c>
      <c r="G41" s="19">
        <f>_xlfn.NORM.INV(RAND(),$B$3,$E$3)</f>
        <v>455</v>
      </c>
      <c r="H41" s="19">
        <f>_xlfn.NORM.INV(RAND(),$B$3,$E$3)</f>
        <v>402</v>
      </c>
      <c r="I41" s="19">
        <f>_xlfn.NORM.INV(RAND(),$B$3,$E$3)</f>
        <v>397</v>
      </c>
      <c r="J41" s="19">
        <f>_xlfn.NORM.INV(RAND(),$B$3,$E$3)</f>
        <v>384</v>
      </c>
      <c r="K41" s="19">
        <f>_xlfn.NORM.INV(RAND(),$B$3,$E$3)</f>
        <v>380</v>
      </c>
      <c r="L41" s="19">
        <f>_xlfn.NORM.INV(RAND(),$B$3,$E$3)</f>
        <v>411</v>
      </c>
      <c r="M41" s="19">
        <f>_xlfn.NORM.INV(RAND(),$B$3,$E$3)</f>
        <v>389</v>
      </c>
      <c r="N41" s="19">
        <f>_xlfn.NORM.INV(RAND(),$B$3,$E$3)</f>
        <v>424</v>
      </c>
      <c r="O41" s="19">
        <f>_xlfn.NORM.INV(RAND(),$B$3,$E$3)</f>
        <v>414</v>
      </c>
      <c r="P41" s="19">
        <f>_xlfn.NORM.INV(RAND(),$B$3,$E$3)</f>
        <v>449</v>
      </c>
      <c r="Q41" s="19">
        <f>_xlfn.NORM.INV(RAND(),$B$3,$E$3)</f>
        <v>427</v>
      </c>
      <c r="R41" s="19">
        <f>_xlfn.NORM.INV(RAND(),$B$3,$E$3)</f>
        <v>381</v>
      </c>
      <c r="S41" s="19">
        <f>_xlfn.NORM.INV(RAND(),$B$3,$E$3)</f>
        <v>372</v>
      </c>
      <c r="T41" s="19">
        <f>_xlfn.NORM.INV(RAND(),$B$3,$E$3)</f>
        <v>349</v>
      </c>
      <c r="U41" s="19">
        <f>_xlfn.NORM.INV(RAND(),$B$3,$E$3)</f>
        <v>363</v>
      </c>
    </row>
    <row r="42" spans="1:21" x14ac:dyDescent="0.25">
      <c r="A42" s="17">
        <v>36</v>
      </c>
      <c r="B42" s="19">
        <f>_xlfn.NORM.INV(RAND(),$B$3,$E$3)</f>
        <v>312</v>
      </c>
      <c r="C42" s="19">
        <f>_xlfn.NORM.INV(RAND(),$B$3,$E$3)</f>
        <v>409</v>
      </c>
      <c r="D42" s="19">
        <f>_xlfn.NORM.INV(RAND(),$B$3,$E$3)</f>
        <v>398</v>
      </c>
      <c r="E42" s="19">
        <f>_xlfn.NORM.INV(RAND(),$B$3,$E$3)</f>
        <v>412</v>
      </c>
      <c r="F42" s="19">
        <f>_xlfn.NORM.INV(RAND(),$B$3,$E$3)</f>
        <v>402</v>
      </c>
      <c r="G42" s="19">
        <f>_xlfn.NORM.INV(RAND(),$B$3,$E$3)</f>
        <v>370</v>
      </c>
      <c r="H42" s="19">
        <f>_xlfn.NORM.INV(RAND(),$B$3,$E$3)</f>
        <v>379</v>
      </c>
      <c r="I42" s="19">
        <f>_xlfn.NORM.INV(RAND(),$B$3,$E$3)</f>
        <v>445</v>
      </c>
      <c r="J42" s="19">
        <f>_xlfn.NORM.INV(RAND(),$B$3,$E$3)</f>
        <v>418</v>
      </c>
      <c r="K42" s="19">
        <f>_xlfn.NORM.INV(RAND(),$B$3,$E$3)</f>
        <v>389</v>
      </c>
      <c r="L42" s="19">
        <f>_xlfn.NORM.INV(RAND(),$B$3,$E$3)</f>
        <v>341</v>
      </c>
      <c r="M42" s="19">
        <f>_xlfn.NORM.INV(RAND(),$B$3,$E$3)</f>
        <v>388</v>
      </c>
      <c r="N42" s="19">
        <f>_xlfn.NORM.INV(RAND(),$B$3,$E$3)</f>
        <v>403</v>
      </c>
      <c r="O42" s="19">
        <f>_xlfn.NORM.INV(RAND(),$B$3,$E$3)</f>
        <v>409</v>
      </c>
      <c r="P42" s="19">
        <f>_xlfn.NORM.INV(RAND(),$B$3,$E$3)</f>
        <v>465</v>
      </c>
      <c r="Q42" s="19">
        <f>_xlfn.NORM.INV(RAND(),$B$3,$E$3)</f>
        <v>380</v>
      </c>
      <c r="R42" s="19">
        <f>_xlfn.NORM.INV(RAND(),$B$3,$E$3)</f>
        <v>406</v>
      </c>
      <c r="S42" s="19">
        <f>_xlfn.NORM.INV(RAND(),$B$3,$E$3)</f>
        <v>397</v>
      </c>
      <c r="T42" s="19">
        <f>_xlfn.NORM.INV(RAND(),$B$3,$E$3)</f>
        <v>393</v>
      </c>
      <c r="U42" s="19">
        <f>_xlfn.NORM.INV(RAND(),$B$3,$E$3)</f>
        <v>319</v>
      </c>
    </row>
    <row r="43" spans="1:21" x14ac:dyDescent="0.25">
      <c r="A43" s="17">
        <v>37</v>
      </c>
      <c r="B43" s="19">
        <f>_xlfn.NORM.INV(RAND(),$B$3,$E$3)</f>
        <v>346</v>
      </c>
      <c r="C43" s="19">
        <f>_xlfn.NORM.INV(RAND(),$B$3,$E$3)</f>
        <v>418</v>
      </c>
      <c r="D43" s="19">
        <f>_xlfn.NORM.INV(RAND(),$B$3,$E$3)</f>
        <v>407</v>
      </c>
      <c r="E43" s="19">
        <f>_xlfn.NORM.INV(RAND(),$B$3,$E$3)</f>
        <v>389</v>
      </c>
      <c r="F43" s="19">
        <f>_xlfn.NORM.INV(RAND(),$B$3,$E$3)</f>
        <v>381</v>
      </c>
      <c r="G43" s="19">
        <f>_xlfn.NORM.INV(RAND(),$B$3,$E$3)</f>
        <v>413</v>
      </c>
      <c r="H43" s="19">
        <f>_xlfn.NORM.INV(RAND(),$B$3,$E$3)</f>
        <v>383</v>
      </c>
      <c r="I43" s="19">
        <f>_xlfn.NORM.INV(RAND(),$B$3,$E$3)</f>
        <v>395</v>
      </c>
      <c r="J43" s="19">
        <f>_xlfn.NORM.INV(RAND(),$B$3,$E$3)</f>
        <v>391</v>
      </c>
      <c r="K43" s="19">
        <f>_xlfn.NORM.INV(RAND(),$B$3,$E$3)</f>
        <v>383</v>
      </c>
      <c r="L43" s="19">
        <f>_xlfn.NORM.INV(RAND(),$B$3,$E$3)</f>
        <v>453</v>
      </c>
      <c r="M43" s="19">
        <f>_xlfn.NORM.INV(RAND(),$B$3,$E$3)</f>
        <v>296</v>
      </c>
      <c r="N43" s="19">
        <f>_xlfn.NORM.INV(RAND(),$B$3,$E$3)</f>
        <v>379</v>
      </c>
      <c r="O43" s="19">
        <f>_xlfn.NORM.INV(RAND(),$B$3,$E$3)</f>
        <v>385</v>
      </c>
      <c r="P43" s="19">
        <f>_xlfn.NORM.INV(RAND(),$B$3,$E$3)</f>
        <v>356</v>
      </c>
      <c r="Q43" s="19">
        <f>_xlfn.NORM.INV(RAND(),$B$3,$E$3)</f>
        <v>391</v>
      </c>
      <c r="R43" s="19">
        <f>_xlfn.NORM.INV(RAND(),$B$3,$E$3)</f>
        <v>463</v>
      </c>
      <c r="S43" s="19">
        <f>_xlfn.NORM.INV(RAND(),$B$3,$E$3)</f>
        <v>442</v>
      </c>
      <c r="T43" s="19">
        <f>_xlfn.NORM.INV(RAND(),$B$3,$E$3)</f>
        <v>401</v>
      </c>
      <c r="U43" s="19">
        <f>_xlfn.NORM.INV(RAND(),$B$3,$E$3)</f>
        <v>425</v>
      </c>
    </row>
    <row r="44" spans="1:21" x14ac:dyDescent="0.25">
      <c r="A44" s="17">
        <v>38</v>
      </c>
      <c r="B44" s="19">
        <f>_xlfn.NORM.INV(RAND(),$B$3,$E$3)</f>
        <v>410</v>
      </c>
      <c r="C44" s="19">
        <f>_xlfn.NORM.INV(RAND(),$B$3,$E$3)</f>
        <v>385</v>
      </c>
      <c r="D44" s="19">
        <f>_xlfn.NORM.INV(RAND(),$B$3,$E$3)</f>
        <v>424</v>
      </c>
      <c r="E44" s="19">
        <f>_xlfn.NORM.INV(RAND(),$B$3,$E$3)</f>
        <v>417</v>
      </c>
      <c r="F44" s="19">
        <f>_xlfn.NORM.INV(RAND(),$B$3,$E$3)</f>
        <v>397</v>
      </c>
      <c r="G44" s="19">
        <f>_xlfn.NORM.INV(RAND(),$B$3,$E$3)</f>
        <v>391</v>
      </c>
      <c r="H44" s="19">
        <f>_xlfn.NORM.INV(RAND(),$B$3,$E$3)</f>
        <v>378</v>
      </c>
      <c r="I44" s="19">
        <f>_xlfn.NORM.INV(RAND(),$B$3,$E$3)</f>
        <v>332</v>
      </c>
      <c r="J44" s="19">
        <f>_xlfn.NORM.INV(RAND(),$B$3,$E$3)</f>
        <v>380</v>
      </c>
      <c r="K44" s="19">
        <f>_xlfn.NORM.INV(RAND(),$B$3,$E$3)</f>
        <v>374</v>
      </c>
      <c r="L44" s="19">
        <f>_xlfn.NORM.INV(RAND(),$B$3,$E$3)</f>
        <v>504</v>
      </c>
      <c r="M44" s="19">
        <f>_xlfn.NORM.INV(RAND(),$B$3,$E$3)</f>
        <v>395</v>
      </c>
      <c r="N44" s="19">
        <f>_xlfn.NORM.INV(RAND(),$B$3,$E$3)</f>
        <v>447</v>
      </c>
      <c r="O44" s="19">
        <f>_xlfn.NORM.INV(RAND(),$B$3,$E$3)</f>
        <v>403</v>
      </c>
      <c r="P44" s="19">
        <f>_xlfn.NORM.INV(RAND(),$B$3,$E$3)</f>
        <v>411</v>
      </c>
      <c r="Q44" s="19">
        <f>_xlfn.NORM.INV(RAND(),$B$3,$E$3)</f>
        <v>371</v>
      </c>
      <c r="R44" s="19">
        <f>_xlfn.NORM.INV(RAND(),$B$3,$E$3)</f>
        <v>291</v>
      </c>
      <c r="S44" s="19">
        <f>_xlfn.NORM.INV(RAND(),$B$3,$E$3)</f>
        <v>391</v>
      </c>
      <c r="T44" s="19">
        <f>_xlfn.NORM.INV(RAND(),$B$3,$E$3)</f>
        <v>352</v>
      </c>
      <c r="U44" s="19">
        <f>_xlfn.NORM.INV(RAND(),$B$3,$E$3)</f>
        <v>387</v>
      </c>
    </row>
    <row r="45" spans="1:21" x14ac:dyDescent="0.25">
      <c r="A45" s="17">
        <v>39</v>
      </c>
      <c r="B45" s="19">
        <f>_xlfn.NORM.INV(RAND(),$B$3,$E$3)</f>
        <v>362</v>
      </c>
      <c r="C45" s="19">
        <f>_xlfn.NORM.INV(RAND(),$B$3,$E$3)</f>
        <v>370</v>
      </c>
      <c r="D45" s="19">
        <f>_xlfn.NORM.INV(RAND(),$B$3,$E$3)</f>
        <v>334</v>
      </c>
      <c r="E45" s="19">
        <f>_xlfn.NORM.INV(RAND(),$B$3,$E$3)</f>
        <v>418</v>
      </c>
      <c r="F45" s="19">
        <f>_xlfn.NORM.INV(RAND(),$B$3,$E$3)</f>
        <v>304</v>
      </c>
      <c r="G45" s="19">
        <f>_xlfn.NORM.INV(RAND(),$B$3,$E$3)</f>
        <v>406</v>
      </c>
      <c r="H45" s="19">
        <f>_xlfn.NORM.INV(RAND(),$B$3,$E$3)</f>
        <v>362</v>
      </c>
      <c r="I45" s="19">
        <f>_xlfn.NORM.INV(RAND(),$B$3,$E$3)</f>
        <v>372</v>
      </c>
      <c r="J45" s="19">
        <f>_xlfn.NORM.INV(RAND(),$B$3,$E$3)</f>
        <v>381</v>
      </c>
      <c r="K45" s="19">
        <f>_xlfn.NORM.INV(RAND(),$B$3,$E$3)</f>
        <v>370</v>
      </c>
      <c r="L45" s="19">
        <f>_xlfn.NORM.INV(RAND(),$B$3,$E$3)</f>
        <v>388</v>
      </c>
      <c r="M45" s="19">
        <f>_xlfn.NORM.INV(RAND(),$B$3,$E$3)</f>
        <v>375</v>
      </c>
      <c r="N45" s="19">
        <f>_xlfn.NORM.INV(RAND(),$B$3,$E$3)</f>
        <v>374</v>
      </c>
      <c r="O45" s="19">
        <f>_xlfn.NORM.INV(RAND(),$B$3,$E$3)</f>
        <v>426</v>
      </c>
      <c r="P45" s="19">
        <f>_xlfn.NORM.INV(RAND(),$B$3,$E$3)</f>
        <v>429</v>
      </c>
      <c r="Q45" s="19">
        <f>_xlfn.NORM.INV(RAND(),$B$3,$E$3)</f>
        <v>366</v>
      </c>
      <c r="R45" s="19">
        <f>_xlfn.NORM.INV(RAND(),$B$3,$E$3)</f>
        <v>347</v>
      </c>
      <c r="S45" s="19">
        <f>_xlfn.NORM.INV(RAND(),$B$3,$E$3)</f>
        <v>359</v>
      </c>
      <c r="T45" s="19">
        <f>_xlfn.NORM.INV(RAND(),$B$3,$E$3)</f>
        <v>406</v>
      </c>
      <c r="U45" s="19">
        <f>_xlfn.NORM.INV(RAND(),$B$3,$E$3)</f>
        <v>349</v>
      </c>
    </row>
    <row r="46" spans="1:21" x14ac:dyDescent="0.25">
      <c r="A46" s="17">
        <v>40</v>
      </c>
      <c r="B46" s="19">
        <f>_xlfn.NORM.INV(RAND(),$B$3,$E$3)</f>
        <v>335</v>
      </c>
      <c r="C46" s="19">
        <f>_xlfn.NORM.INV(RAND(),$B$3,$E$3)</f>
        <v>424</v>
      </c>
      <c r="D46" s="19">
        <f>_xlfn.NORM.INV(RAND(),$B$3,$E$3)</f>
        <v>387</v>
      </c>
      <c r="E46" s="19">
        <f>_xlfn.NORM.INV(RAND(),$B$3,$E$3)</f>
        <v>393</v>
      </c>
      <c r="F46" s="19">
        <f>_xlfn.NORM.INV(RAND(),$B$3,$E$3)</f>
        <v>450</v>
      </c>
      <c r="G46" s="19">
        <f>_xlfn.NORM.INV(RAND(),$B$3,$E$3)</f>
        <v>324</v>
      </c>
      <c r="H46" s="19">
        <f>_xlfn.NORM.INV(RAND(),$B$3,$E$3)</f>
        <v>370</v>
      </c>
      <c r="I46" s="19">
        <f>_xlfn.NORM.INV(RAND(),$B$3,$E$3)</f>
        <v>370</v>
      </c>
      <c r="J46" s="19">
        <f>_xlfn.NORM.INV(RAND(),$B$3,$E$3)</f>
        <v>466</v>
      </c>
      <c r="K46" s="19">
        <f>_xlfn.NORM.INV(RAND(),$B$3,$E$3)</f>
        <v>380</v>
      </c>
      <c r="L46" s="19">
        <f>_xlfn.NORM.INV(RAND(),$B$3,$E$3)</f>
        <v>427</v>
      </c>
      <c r="M46" s="19">
        <f>_xlfn.NORM.INV(RAND(),$B$3,$E$3)</f>
        <v>337</v>
      </c>
      <c r="N46" s="19">
        <f>_xlfn.NORM.INV(RAND(),$B$3,$E$3)</f>
        <v>336</v>
      </c>
      <c r="O46" s="19">
        <f>_xlfn.NORM.INV(RAND(),$B$3,$E$3)</f>
        <v>335</v>
      </c>
      <c r="P46" s="19">
        <f>_xlfn.NORM.INV(RAND(),$B$3,$E$3)</f>
        <v>399</v>
      </c>
      <c r="Q46" s="19">
        <f>_xlfn.NORM.INV(RAND(),$B$3,$E$3)</f>
        <v>443</v>
      </c>
      <c r="R46" s="19">
        <f>_xlfn.NORM.INV(RAND(),$B$3,$E$3)</f>
        <v>394</v>
      </c>
      <c r="S46" s="19">
        <f>_xlfn.NORM.INV(RAND(),$B$3,$E$3)</f>
        <v>377</v>
      </c>
      <c r="T46" s="19">
        <f>_xlfn.NORM.INV(RAND(),$B$3,$E$3)</f>
        <v>340</v>
      </c>
      <c r="U46" s="19">
        <f>_xlfn.NORM.INV(RAND(),$B$3,$E$3)</f>
        <v>372</v>
      </c>
    </row>
    <row r="48" spans="1:21" x14ac:dyDescent="0.25">
      <c r="A48" s="3" t="s">
        <v>69</v>
      </c>
      <c r="B48" s="18">
        <f>AVERAGE(B7:B46)</f>
        <v>387.45</v>
      </c>
      <c r="C48" s="18">
        <f>AVERAGE(C7:C46)</f>
        <v>396.725</v>
      </c>
      <c r="D48" s="18">
        <f>AVERAGE(D7:D46)</f>
        <v>390.325</v>
      </c>
      <c r="E48" s="18">
        <f>AVERAGE(E7:E46)</f>
        <v>385.6</v>
      </c>
      <c r="F48" s="18">
        <f>AVERAGE(F7:F46)</f>
        <v>389.45</v>
      </c>
      <c r="G48" s="18">
        <f>AVERAGE(G7:G46)</f>
        <v>385.325</v>
      </c>
      <c r="H48" s="18">
        <f>AVERAGE(H7:H46)</f>
        <v>389.275</v>
      </c>
      <c r="I48" s="18">
        <f>AVERAGE(I7:I46)</f>
        <v>391.475</v>
      </c>
      <c r="J48" s="18">
        <f>AVERAGE(J7:J46)</f>
        <v>393.075</v>
      </c>
      <c r="K48" s="18">
        <f>AVERAGE(K7:K46)</f>
        <v>400.975</v>
      </c>
      <c r="L48" s="18">
        <f>AVERAGE(L7:L46)</f>
        <v>392.225</v>
      </c>
      <c r="M48" s="18">
        <f>AVERAGE(M7:M46)</f>
        <v>387.875</v>
      </c>
      <c r="N48" s="18">
        <f>AVERAGE(N7:N46)</f>
        <v>385.425</v>
      </c>
      <c r="O48" s="18">
        <f>AVERAGE(O7:O46)</f>
        <v>388.775</v>
      </c>
      <c r="P48" s="18">
        <f>AVERAGE(P7:P46)</f>
        <v>401.575</v>
      </c>
      <c r="Q48" s="18">
        <f>AVERAGE(Q7:Q46)</f>
        <v>408.75</v>
      </c>
      <c r="R48" s="18">
        <f>AVERAGE(R7:R46)</f>
        <v>386.75</v>
      </c>
      <c r="S48" s="18">
        <f>AVERAGE(S7:S46)</f>
        <v>384.1</v>
      </c>
      <c r="T48" s="18">
        <f>AVERAGE(T7:T46)</f>
        <v>391.525</v>
      </c>
      <c r="U48" s="18">
        <f>AVERAGE(U7:U46)</f>
        <v>382.675</v>
      </c>
    </row>
    <row r="49" spans="1:21" x14ac:dyDescent="0.25">
      <c r="A49" s="3" t="s">
        <v>70</v>
      </c>
      <c r="B49" s="18">
        <f>_xlfn.CONFIDENCE.NORM(1-$H$3,$E$3,40)</f>
        <v>10.846413074074304</v>
      </c>
      <c r="C49" s="18">
        <f>_xlfn.CONFIDENCE.NORM(1-$H$3,$E$3,40)</f>
        <v>10.846413074074304</v>
      </c>
      <c r="D49" s="18">
        <f>_xlfn.CONFIDENCE.NORM(1-$H$3,$E$3,40)</f>
        <v>10.846413074074304</v>
      </c>
      <c r="E49" s="18">
        <f>_xlfn.CONFIDENCE.NORM(1-$H$3,$E$3,40)</f>
        <v>10.846413074074304</v>
      </c>
      <c r="F49" s="18">
        <f>_xlfn.CONFIDENCE.NORM(1-$H$3,$E$3,40)</f>
        <v>10.846413074074304</v>
      </c>
      <c r="G49" s="18">
        <f>_xlfn.CONFIDENCE.NORM(1-$H$3,$E$3,40)</f>
        <v>10.846413074074304</v>
      </c>
      <c r="H49" s="18">
        <f>_xlfn.CONFIDENCE.NORM(1-$H$3,$E$3,40)</f>
        <v>10.846413074074304</v>
      </c>
      <c r="I49" s="18">
        <f>_xlfn.CONFIDENCE.NORM(1-$H$3,$E$3,40)</f>
        <v>10.846413074074304</v>
      </c>
      <c r="J49" s="18">
        <f>_xlfn.CONFIDENCE.NORM(1-$H$3,$E$3,40)</f>
        <v>10.846413074074304</v>
      </c>
      <c r="K49" s="18">
        <f>_xlfn.CONFIDENCE.NORM(1-$H$3,$E$3,40)</f>
        <v>10.846413074074304</v>
      </c>
      <c r="L49" s="18">
        <f>_xlfn.CONFIDENCE.NORM(1-$H$3,$E$3,40)</f>
        <v>10.846413074074304</v>
      </c>
      <c r="M49" s="18">
        <f>_xlfn.CONFIDENCE.NORM(1-$H$3,$E$3,40)</f>
        <v>10.846413074074304</v>
      </c>
      <c r="N49" s="18">
        <f>_xlfn.CONFIDENCE.NORM(1-$H$3,$E$3,40)</f>
        <v>10.846413074074304</v>
      </c>
      <c r="O49" s="18">
        <f>_xlfn.CONFIDENCE.NORM(1-$H$3,$E$3,40)</f>
        <v>10.846413074074304</v>
      </c>
      <c r="P49" s="18">
        <f>_xlfn.CONFIDENCE.NORM(1-$H$3,$E$3,40)</f>
        <v>10.846413074074304</v>
      </c>
      <c r="Q49" s="18">
        <f>_xlfn.CONFIDENCE.NORM(1-$H$3,$E$3,40)</f>
        <v>10.846413074074304</v>
      </c>
      <c r="R49" s="18">
        <f>_xlfn.CONFIDENCE.NORM(1-$H$3,$E$3,40)</f>
        <v>10.846413074074304</v>
      </c>
      <c r="S49" s="18">
        <f>_xlfn.CONFIDENCE.NORM(1-$H$3,$E$3,40)</f>
        <v>10.846413074074304</v>
      </c>
      <c r="T49" s="18">
        <f>_xlfn.CONFIDENCE.NORM(1-$H$3,$E$3,40)</f>
        <v>10.846413074074304</v>
      </c>
      <c r="U49" s="18">
        <f>_xlfn.CONFIDENCE.NORM(1-$H$3,$E$3,40)</f>
        <v>10.846413074074304</v>
      </c>
    </row>
    <row r="50" spans="1:21" x14ac:dyDescent="0.25">
      <c r="A50" s="3" t="s">
        <v>32</v>
      </c>
      <c r="B50" s="18">
        <f>B48-B49</f>
        <v>376.6035869259257</v>
      </c>
      <c r="C50" s="18">
        <f>C48-C49</f>
        <v>385.87858692592573</v>
      </c>
      <c r="D50" s="18">
        <f>D48-D49</f>
        <v>379.4785869259257</v>
      </c>
      <c r="E50" s="18">
        <f>E48-E49</f>
        <v>374.75358692592573</v>
      </c>
      <c r="F50" s="18">
        <f>F48-F49</f>
        <v>378.6035869259257</v>
      </c>
      <c r="G50" s="18">
        <f>G48-G49</f>
        <v>374.4785869259257</v>
      </c>
      <c r="H50" s="18">
        <f>H48-H49</f>
        <v>378.4285869259257</v>
      </c>
      <c r="I50" s="18">
        <f>I48-I49</f>
        <v>380.62858692592573</v>
      </c>
      <c r="J50" s="18">
        <f>J48-J49</f>
        <v>382.2285869259257</v>
      </c>
      <c r="K50" s="18">
        <f>K48-K49</f>
        <v>390.12858692592573</v>
      </c>
      <c r="L50" s="18">
        <f>L48-L49</f>
        <v>381.37858692592573</v>
      </c>
      <c r="M50" s="18">
        <f>M48-M49</f>
        <v>377.0285869259257</v>
      </c>
      <c r="N50" s="18">
        <f>N48-N49</f>
        <v>374.5785869259257</v>
      </c>
      <c r="O50" s="18">
        <f>O48-O49</f>
        <v>377.9285869259257</v>
      </c>
      <c r="P50" s="18">
        <f>P48-P49</f>
        <v>390.7285869259257</v>
      </c>
      <c r="Q50" s="18">
        <f>Q48-Q49</f>
        <v>397.9035869259257</v>
      </c>
      <c r="R50" s="18">
        <f>R48-R49</f>
        <v>375.9035869259257</v>
      </c>
      <c r="S50" s="18">
        <f>S48-S49</f>
        <v>373.25358692592573</v>
      </c>
      <c r="T50" s="18">
        <f>T48-T49</f>
        <v>380.6785869259257</v>
      </c>
      <c r="U50" s="18">
        <f>U48-U49</f>
        <v>371.8285869259257</v>
      </c>
    </row>
    <row r="51" spans="1:21" x14ac:dyDescent="0.25">
      <c r="A51" s="3" t="s">
        <v>33</v>
      </c>
      <c r="B51" s="18">
        <f>B48+B49</f>
        <v>398.2964130740743</v>
      </c>
      <c r="C51" s="18">
        <f>C48+C49</f>
        <v>407.5714130740743</v>
      </c>
      <c r="D51" s="18">
        <f>D48+D49</f>
        <v>401.1714130740743</v>
      </c>
      <c r="E51" s="18">
        <f>E48+E49</f>
        <v>396.4464130740743</v>
      </c>
      <c r="F51" s="18">
        <f>F48+F49</f>
        <v>400.2964130740743</v>
      </c>
      <c r="G51" s="18">
        <f>G48+G49</f>
        <v>396.1714130740743</v>
      </c>
      <c r="H51" s="18">
        <f>H48+H49</f>
        <v>400.12141307407427</v>
      </c>
      <c r="I51" s="18">
        <f>I48+I49</f>
        <v>402.3214130740743</v>
      </c>
      <c r="J51" s="18">
        <f>J48+J49</f>
        <v>403.9214130740743</v>
      </c>
      <c r="K51" s="18">
        <f>K48+K49</f>
        <v>411.8214130740743</v>
      </c>
      <c r="L51" s="18">
        <f>L48+L49</f>
        <v>403.0714130740743</v>
      </c>
      <c r="M51" s="18">
        <f>M48+M49</f>
        <v>398.7214130740743</v>
      </c>
      <c r="N51" s="18">
        <f>N48+N49</f>
        <v>396.2714130740743</v>
      </c>
      <c r="O51" s="18">
        <f>O48+O49</f>
        <v>399.62141307407427</v>
      </c>
      <c r="P51" s="18">
        <f>P48+P49</f>
        <v>412.4214130740743</v>
      </c>
      <c r="Q51" s="18">
        <f>Q48+Q49</f>
        <v>419.5964130740743</v>
      </c>
      <c r="R51" s="18">
        <f>R48+R49</f>
        <v>397.5964130740743</v>
      </c>
      <c r="S51" s="18">
        <f>S48+S49</f>
        <v>394.9464130740743</v>
      </c>
      <c r="T51" s="18">
        <f>T48+T49</f>
        <v>402.37141307407427</v>
      </c>
      <c r="U51" s="18">
        <f>U48+U49</f>
        <v>393.5214130740743</v>
      </c>
    </row>
    <row r="52" spans="1:21" x14ac:dyDescent="0.25">
      <c r="A52" s="3" t="s">
        <v>71</v>
      </c>
      <c r="B52" s="20" t="str">
        <f>IF(AND(B50&lt;=$B$3,$B$3&lt;=B51),"sí","no")</f>
        <v>sí</v>
      </c>
      <c r="C52" s="20" t="str">
        <f>IF(AND(C50&lt;=$B$3,$B$3&lt;=C51),"sí","no")</f>
        <v>sí</v>
      </c>
      <c r="D52" s="20" t="str">
        <f>IF(AND(D50&lt;=$B$3,$B$3&lt;=D51),"sí","no")</f>
        <v>sí</v>
      </c>
      <c r="E52" s="20" t="str">
        <f>IF(AND(E50&lt;=$B$3,$B$3&lt;=E51),"sí","no")</f>
        <v>sí</v>
      </c>
      <c r="F52" s="20" t="str">
        <f>IF(AND(F50&lt;=$B$3,$B$3&lt;=F51),"sí","no")</f>
        <v>sí</v>
      </c>
      <c r="G52" s="20" t="str">
        <f>IF(AND(G50&lt;=$B$3,$B$3&lt;=G51),"sí","no")</f>
        <v>sí</v>
      </c>
      <c r="H52" s="20" t="str">
        <f>IF(AND(H50&lt;=$B$3,$B$3&lt;=H51),"sí","no")</f>
        <v>sí</v>
      </c>
      <c r="I52" s="20" t="str">
        <f>IF(AND(I50&lt;=$B$3,$B$3&lt;=I51),"sí","no")</f>
        <v>sí</v>
      </c>
      <c r="J52" s="20" t="str">
        <f>IF(AND(J50&lt;=$B$3,$B$3&lt;=J51),"sí","no")</f>
        <v>sí</v>
      </c>
      <c r="K52" s="20" t="str">
        <f>IF(AND(K50&lt;=$B$3,$B$3&lt;=K51),"sí","no")</f>
        <v>sí</v>
      </c>
      <c r="L52" s="20" t="str">
        <f>IF(AND(L50&lt;=$B$3,$B$3&lt;=L51),"sí","no")</f>
        <v>sí</v>
      </c>
      <c r="M52" s="20" t="str">
        <f>IF(AND(M50&lt;=$B$3,$B$3&lt;=M51),"sí","no")</f>
        <v>sí</v>
      </c>
      <c r="N52" s="20" t="str">
        <f>IF(AND(N50&lt;=$B$3,$B$3&lt;=N51),"sí","no")</f>
        <v>sí</v>
      </c>
      <c r="O52" s="20" t="str">
        <f>IF(AND(O50&lt;=$B$3,$B$3&lt;=O51),"sí","no")</f>
        <v>sí</v>
      </c>
      <c r="P52" s="20" t="str">
        <f>IF(AND(P50&lt;=$B$3,$B$3&lt;=P51),"sí","no")</f>
        <v>sí</v>
      </c>
      <c r="Q52" s="20" t="str">
        <f>IF(AND(Q50&lt;=$B$3,$B$3&lt;=Q51),"sí","no")</f>
        <v>no</v>
      </c>
      <c r="R52" s="20" t="str">
        <f>IF(AND(R50&lt;=$B$3,$B$3&lt;=R51),"sí","no")</f>
        <v>sí</v>
      </c>
      <c r="S52" s="20" t="str">
        <f>IF(AND(S50&lt;=$B$3,$B$3&lt;=S51),"sí","no")</f>
        <v>sí</v>
      </c>
      <c r="T52" s="20" t="str">
        <f>IF(AND(T50&lt;=$B$3,$B$3&lt;=T51),"sí","no")</f>
        <v>sí</v>
      </c>
      <c r="U52" s="20" t="str">
        <f>IF(AND(U50&lt;=$B$3,$B$3&lt;=U51),"sí","no")</f>
        <v>sí</v>
      </c>
    </row>
    <row r="54" spans="1:6" x14ac:dyDescent="0.25">
      <c r="A54" s="3" t="s">
        <v>72</v>
      </c>
      <c r="E54" s="21">
        <f>COUNTIF(B52:U52,"sí")</f>
        <v>19</v>
      </c>
      <c r="F54" t="s">
        <v>73</v>
      </c>
    </row>
    <row r="56" ht="16" customHeight="1" spans="1:21" x14ac:dyDescent="0.25">
      <c r="A56" s="22" t="s">
        <v>74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</row>
    <row r="57" spans="1:2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</row>
    <row r="58" spans="1:2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</row>
  </sheetData>
  <mergeCells count="1">
    <mergeCell ref="A56:U5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Léeme</vt:lpstr>
      <vt:lpstr>Intervalo</vt:lpstr>
      <vt:lpstr>Veinte promedios</vt:lpstr>
      <vt:lpstr>Simulador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Jair Cárdenas Cardona</dc:creator>
  <dc:title>Intervalos</dc:title>
  <dc:subject/>
  <dc:description/>
  <cp:keywords/>
  <cp:category/>
  <cp:lastModifiedBy>Unknown</cp:lastModifiedBy>
  <dcterms:created xsi:type="dcterms:W3CDTF">2026-09-19T13:43:36Z</dcterms:created>
  <dcterms:modified xsi:type="dcterms:W3CDTF">2026-09-19T13:43:36Z</dcterms:modified>
</cp:coreProperties>
</file>