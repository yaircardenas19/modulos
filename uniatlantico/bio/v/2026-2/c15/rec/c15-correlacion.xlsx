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Doce días" state="visible" r:id="rId5"/>
    <sheet sheetId="3" name="Cuatro casos" state="visible" r:id="rId6"/>
  </sheets>
  <calcPr calcId="171027" fullCalcOnLoad="1"/>
</workbook>
</file>

<file path=xl/sharedStrings.xml><?xml version="1.0" encoding="utf-8"?>
<sst xmlns="http://schemas.openxmlformats.org/spreadsheetml/2006/main" count="54" uniqueCount="45">
  <si>
    <t>Capítulo 15 · Cuando dos variables van juntas</t>
  </si>
  <si>
    <t>Hoja del QR de recursos · Módulo de Bioestadística · Semestre 2026-2</t>
  </si>
  <si>
    <t>Qué trae este libro</t>
  </si>
  <si>
    <t>Doce días</t>
  </si>
  <si>
    <t>Temperatura del agua a las 6 a. m. y alimento consumido: r, covarianza y desviaciones.</t>
  </si>
  <si>
    <t>Cuatro casos</t>
  </si>
  <si>
    <t>Los cuatro dibujos del bloque 6, con sus datos. Grafica cada uno: Insertar → Dispersión.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</si>
  <si>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</si>
  <si>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</si>
  <si>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</si>
  <si>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</si>
  <si>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</si>
  <si>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</si>
  <si>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=COEF.DE.CORREL(rango1;rango2)</t>
  </si>
  <si>
    <t>el coeficiente r</t>
  </si>
  <si>
    <t>=COVARIANZA.M(rango1;rango2)</t>
  </si>
  <si>
    <t>la covarianza de una muestra</t>
  </si>
  <si>
    <t>Si tu Excel está en inglés, las funciones aparecen con su nombre en inglés. Es la misma fórmula.</t>
  </si>
  <si>
    <t>Cuando dos variables van juntas</t>
  </si>
  <si>
    <t>Doce días de registro en el estanque 3.</t>
  </si>
  <si>
    <t>Día</t>
  </si>
  <si>
    <t>Temp. (°C)</t>
  </si>
  <si>
    <t>Alimento (kg)</t>
  </si>
  <si>
    <t>Promedio de la temperatura</t>
  </si>
  <si>
    <t>Promedio del alimento</t>
  </si>
  <si>
    <t>sₓ</t>
  </si>
  <si>
    <t>s_y</t>
  </si>
  <si>
    <t>Covarianza</t>
  </si>
  <si>
    <t>r = covarianza / (sₓ · s_y)</t>
  </si>
  <si>
    <t>r con COEF.DE.CORREL</t>
  </si>
  <si>
    <t>Válido solo entre 26,5 y 31,2 °C, que es donde hay datos. Y r = 0,98 no demuestra que la temperatura cause el consumo: el sol podría estar moviendo las dos cosas.</t>
  </si>
  <si>
    <t>Cuatro casos del bloque 6</t>
  </si>
  <si>
    <t>Grafica cada uno antes de creerle a su r.</t>
  </si>
  <si>
    <t>La recta de verdad</t>
  </si>
  <si>
    <t>Relación fuerte, pero curva</t>
  </si>
  <si>
    <t>Un solo punto lo produce todo</t>
  </si>
  <si>
    <t>Dos grupos, no una relación</t>
  </si>
  <si>
    <t>Temperatura (°C) y alimento (kg)</t>
  </si>
  <si>
    <t>Temperatura (°C), de 24 a 35, y consumo (kg)</t>
  </si>
  <si>
    <t>Dosis de aditivo (g/kg) y peso final (g)</t>
  </si>
  <si>
    <t>Amonio (mg/L) y peso final (g), dos estanques mezclados</t>
  </si>
  <si>
    <t>x</t>
  </si>
  <si>
    <t>y</t>
  </si>
  <si>
    <t>r =</t>
  </si>
  <si>
    <t>Los cuatro no tienen la relación que su r sugiere, salvo el primero. En la curva, r ≈ 0 con una relación fortísima. En el tercero, quita el último punto y recalcula: r pasa de 0,85 a −0,16. En el cuarto, dentro de cada estanque no hay relación; la hay solo al mezclarlos. Solo el dibujo lo revela.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</si>
</sst>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  <font>
      <i/>
      <sz val="9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  <fill>
      <patternFill patternType="solid">
        <fgColor rgb="FFFBE3DA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164" fontId="0" fillId="2" borderId="1" xfId="0" applyNumberFormat="1" applyFill="1" applyBorder="1"/>
    <xf numFmtId="0" fontId="0" fillId="2" borderId="1" xfId="0" applyFill="1" applyBorder="1"/>
    <xf numFmtId="2" fontId="0" fillId="0" borderId="1" xfId="0" applyNumberFormat="1" applyBorder="1"/>
    <xf numFmtId="2" fontId="3" fillId="3" borderId="1" xfId="0" applyNumberFormat="1" applyFont="1" applyFill="1" applyBorder="1"/>
    <xf numFmtId="0" fontId="5" fillId="5" borderId="0" xfId="0" applyFont="1" applyFill="1" applyAlignment="1">
      <alignment vertical="top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8" spans="1:1" x14ac:dyDescent="0.25">
      <c r="A8" s="3" t="s">
        <v>7</v>
      </c>
    </row>
    <row r="9" spans="1:2" x14ac:dyDescent="0.25">
      <c r="A9" s="5" t="s">
        <v>8</v>
      </c>
      <c r="B9" t="s">
        <v>9</v>
      </c>
    </row>
    <row r="10" spans="1:2" x14ac:dyDescent="0.25">
      <c r="A10" s="6" t="s">
        <v>10</v>
      </c>
      <c r="B10" t="s">
        <v>11</v>
      </c>
    </row>
    <row r="12" spans="1:1" x14ac:dyDescent="0.25">
      <c r="A12" s="3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6" spans="1:1" x14ac:dyDescent="0.25">
      <c r="A1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6" outlineLevelRow="0" outlineLevelCol="0" x14ac:dyDescent="55" customHeight="1"/>
  <cols>
    <col min="1" max="1" width="8" customWidth="1"/>
    <col min="2" max="3" width="14" customWidth="1"/>
    <col min="4" max="4" width="4" customWidth="1"/>
    <col min="5" max="5" width="40" customWidth="1"/>
    <col min="6" max="6" width="12" customWidth="1"/>
  </cols>
  <sheetData>
    <row r="1" spans="1:1" x14ac:dyDescent="0.25">
      <c r="A1" s="1" t="s">
        <v>18</v>
      </c>
    </row>
    <row r="2" spans="1:1" x14ac:dyDescent="0.25">
      <c r="A2" s="2" t="s">
        <v>19</v>
      </c>
    </row>
    <row r="4" spans="1:3" x14ac:dyDescent="0.25">
      <c r="A4" s="8" t="s">
        <v>20</v>
      </c>
      <c r="B4" s="8" t="s">
        <v>21</v>
      </c>
      <c r="C4" s="8" t="s">
        <v>22</v>
      </c>
    </row>
    <row r="5" spans="1:6" x14ac:dyDescent="0.25">
      <c r="A5" s="9">
        <v>1</v>
      </c>
      <c r="B5" s="10">
        <v>26.5</v>
      </c>
      <c r="C5" s="11">
        <v>41</v>
      </c>
      <c r="E5" t="s">
        <v>23</v>
      </c>
      <c r="F5" s="12">
        <f>AVERAGE(B5:B16)</f>
        <v>28.983333333333334</v>
      </c>
    </row>
    <row r="6" spans="1:6" x14ac:dyDescent="0.25">
      <c r="A6" s="9">
        <v>2</v>
      </c>
      <c r="B6" s="10">
        <v>27.2</v>
      </c>
      <c r="C6" s="11">
        <v>45</v>
      </c>
      <c r="E6" t="s">
        <v>24</v>
      </c>
      <c r="F6" s="12">
        <f>AVERAGE(C5:C16)</f>
        <v>56.833333333333336</v>
      </c>
    </row>
    <row r="7" spans="1:6" x14ac:dyDescent="0.25">
      <c r="A7" s="9">
        <v>3</v>
      </c>
      <c r="B7" s="10">
        <v>28.1</v>
      </c>
      <c r="C7" s="11">
        <v>52</v>
      </c>
      <c r="E7" t="s">
        <v>25</v>
      </c>
      <c r="F7" s="12">
        <f>_xlfn.STDEV.S(B5:B16)</f>
        <v>1.4596595701073796</v>
      </c>
    </row>
    <row r="8" spans="1:6" x14ac:dyDescent="0.25">
      <c r="A8" s="9">
        <v>4</v>
      </c>
      <c r="B8" s="10">
        <v>28.8</v>
      </c>
      <c r="C8" s="11">
        <v>56</v>
      </c>
      <c r="E8" t="s">
        <v>26</v>
      </c>
      <c r="F8" s="12">
        <f>_xlfn.STDEV.S(C5:C16)</f>
        <v>8.922222851176752</v>
      </c>
    </row>
    <row r="9" spans="1:6" x14ac:dyDescent="0.25">
      <c r="A9" s="9">
        <v>5</v>
      </c>
      <c r="B9" s="10">
        <v>29.4</v>
      </c>
      <c r="C9" s="11">
        <v>55</v>
      </c>
      <c r="E9" t="s">
        <v>27</v>
      </c>
      <c r="F9" s="12">
        <f>_xlfn.COVARIANCE.S(B5:B16,C5:C16)</f>
        <v>12.769696969696968</v>
      </c>
    </row>
    <row r="10" spans="1:6" x14ac:dyDescent="0.25">
      <c r="A10" s="9">
        <v>6</v>
      </c>
      <c r="B10" s="10">
        <v>30.1</v>
      </c>
      <c r="C10" s="11">
        <v>64</v>
      </c>
      <c r="E10" t="s">
        <v>28</v>
      </c>
      <c r="F10" s="12">
        <f>F9/(F7*F8)</f>
        <v>0.9805188471241901</v>
      </c>
    </row>
    <row r="11" spans="1:6" x14ac:dyDescent="0.25">
      <c r="A11" s="9">
        <v>7</v>
      </c>
      <c r="B11" s="10">
        <v>30.8</v>
      </c>
      <c r="C11" s="11">
        <v>68</v>
      </c>
      <c r="E11" t="s">
        <v>29</v>
      </c>
      <c r="F11" s="13">
        <f>CORREL(B5:B16,C5:C16)</f>
        <v>0.9805188471241901</v>
      </c>
    </row>
    <row r="12" spans="1:3" x14ac:dyDescent="0.25">
      <c r="A12" s="9">
        <v>8</v>
      </c>
      <c r="B12" s="10">
        <v>31.2</v>
      </c>
      <c r="C12" s="11">
        <v>70</v>
      </c>
    </row>
    <row r="13" ht="16" customHeight="1" spans="1:6" x14ac:dyDescent="0.25">
      <c r="A13" s="9">
        <v>9</v>
      </c>
      <c r="B13" s="10">
        <v>29</v>
      </c>
      <c r="C13" s="11">
        <v>58</v>
      </c>
      <c r="E13" s="14" t="s">
        <v>30</v>
      </c>
      <c r="F13" s="14"/>
    </row>
    <row r="14" spans="1:6" x14ac:dyDescent="0.25">
      <c r="A14" s="9">
        <v>10</v>
      </c>
      <c r="B14" s="10">
        <v>27.8</v>
      </c>
      <c r="C14" s="11">
        <v>53</v>
      </c>
      <c r="E14" s="14"/>
      <c r="F14" s="14"/>
    </row>
    <row r="15" spans="1:6" x14ac:dyDescent="0.25">
      <c r="A15" s="9">
        <v>11</v>
      </c>
      <c r="B15" s="10">
        <v>28.5</v>
      </c>
      <c r="C15" s="11">
        <v>54</v>
      </c>
      <c r="E15" s="14"/>
      <c r="F15" s="14"/>
    </row>
    <row r="16" spans="1:6" x14ac:dyDescent="0.25">
      <c r="A16" s="9">
        <v>12</v>
      </c>
      <c r="B16" s="10">
        <v>30.4</v>
      </c>
      <c r="C16" s="11">
        <v>66</v>
      </c>
      <c r="E16" s="14"/>
      <c r="F16" s="14"/>
    </row>
    <row r="17" spans="5:6" x14ac:dyDescent="0.25">
      <c r="E17" s="14"/>
      <c r="F17" s="14"/>
    </row>
  </sheetData>
  <mergeCells count="1">
    <mergeCell ref="E13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6" outlineLevelRow="0" outlineLevelCol="0" x14ac:dyDescent="55" customHeight="1"/>
  <cols>
    <col min="1" max="2" width="11" customWidth="1"/>
    <col min="3" max="3" width="3" customWidth="1"/>
    <col min="4" max="5" width="11" customWidth="1"/>
    <col min="6" max="6" width="3" customWidth="1"/>
    <col min="7" max="8" width="11" customWidth="1"/>
    <col min="9" max="9" width="3" customWidth="1"/>
    <col min="10" max="11" width="11" customWidth="1"/>
  </cols>
  <sheetData>
    <row r="1" spans="1:1" x14ac:dyDescent="0.25">
      <c r="A1" s="1" t="s">
        <v>31</v>
      </c>
    </row>
    <row r="2" spans="1:1" x14ac:dyDescent="0.25">
      <c r="A2" s="2" t="s">
        <v>32</v>
      </c>
    </row>
    <row r="3" ht="30" customHeight="1" spans="1:11" x14ac:dyDescent="0.25">
      <c r="A3" s="15" t="s">
        <v>33</v>
      </c>
      <c r="B3" s="15"/>
      <c r="D3" s="15" t="s">
        <v>34</v>
      </c>
      <c r="E3" s="15"/>
      <c r="G3" s="15" t="s">
        <v>35</v>
      </c>
      <c r="H3" s="15"/>
      <c r="J3" s="15" t="s">
        <v>36</v>
      </c>
      <c r="K3" s="15"/>
    </row>
    <row r="4" ht="36" customHeight="1" spans="1:11" x14ac:dyDescent="0.25">
      <c r="A4" s="16" t="s">
        <v>37</v>
      </c>
      <c r="B4" s="16"/>
      <c r="D4" s="16" t="s">
        <v>38</v>
      </c>
      <c r="E4" s="16"/>
      <c r="G4" s="16" t="s">
        <v>39</v>
      </c>
      <c r="H4" s="16"/>
      <c r="J4" s="16" t="s">
        <v>40</v>
      </c>
      <c r="K4" s="16"/>
    </row>
    <row r="5" spans="1:11" x14ac:dyDescent="0.25">
      <c r="A5" s="8" t="s">
        <v>41</v>
      </c>
      <c r="B5" s="8" t="s">
        <v>42</v>
      </c>
      <c r="D5" s="8" t="s">
        <v>41</v>
      </c>
      <c r="E5" s="8" t="s">
        <v>42</v>
      </c>
      <c r="G5" s="8" t="s">
        <v>41</v>
      </c>
      <c r="H5" s="8" t="s">
        <v>42</v>
      </c>
      <c r="J5" s="8" t="s">
        <v>41</v>
      </c>
      <c r="K5" s="8" t="s">
        <v>42</v>
      </c>
    </row>
    <row r="6" spans="1:11" x14ac:dyDescent="0.25">
      <c r="A6" s="9">
        <v>26.5</v>
      </c>
      <c r="B6" s="9">
        <v>41</v>
      </c>
      <c r="D6" s="9">
        <v>24</v>
      </c>
      <c r="E6" s="9">
        <v>22</v>
      </c>
      <c r="G6" s="9">
        <v>1</v>
      </c>
      <c r="H6" s="9">
        <v>405</v>
      </c>
      <c r="J6" s="9">
        <v>0.2</v>
      </c>
      <c r="K6" s="9">
        <v>345</v>
      </c>
    </row>
    <row r="7" spans="1:11" x14ac:dyDescent="0.25">
      <c r="A7" s="9">
        <v>27.2</v>
      </c>
      <c r="B7" s="9">
        <v>45</v>
      </c>
      <c r="D7" s="9">
        <v>25</v>
      </c>
      <c r="E7" s="9">
        <v>38</v>
      </c>
      <c r="G7" s="9">
        <v>1.1</v>
      </c>
      <c r="H7" s="9">
        <v>398</v>
      </c>
      <c r="J7" s="9">
        <v>0.3</v>
      </c>
      <c r="K7" s="9">
        <v>338</v>
      </c>
    </row>
    <row r="8" spans="1:11" x14ac:dyDescent="0.25">
      <c r="A8" s="9">
        <v>28.1</v>
      </c>
      <c r="B8" s="9">
        <v>52</v>
      </c>
      <c r="D8" s="9">
        <v>26</v>
      </c>
      <c r="E8" s="9">
        <v>50</v>
      </c>
      <c r="G8" s="9">
        <v>1.1</v>
      </c>
      <c r="H8" s="9">
        <v>411</v>
      </c>
      <c r="J8" s="9">
        <v>0.3</v>
      </c>
      <c r="K8" s="9">
        <v>352</v>
      </c>
    </row>
    <row r="9" spans="1:11" x14ac:dyDescent="0.25">
      <c r="A9" s="9">
        <v>28.8</v>
      </c>
      <c r="B9" s="9">
        <v>56</v>
      </c>
      <c r="D9" s="9">
        <v>27</v>
      </c>
      <c r="E9" s="9">
        <v>60</v>
      </c>
      <c r="G9" s="9">
        <v>1.2</v>
      </c>
      <c r="H9" s="9">
        <v>402</v>
      </c>
      <c r="J9" s="9">
        <v>0.4</v>
      </c>
      <c r="K9" s="9">
        <v>341</v>
      </c>
    </row>
    <row r="10" spans="1:11" x14ac:dyDescent="0.25">
      <c r="A10" s="9">
        <v>29.4</v>
      </c>
      <c r="B10" s="9">
        <v>55</v>
      </c>
      <c r="D10" s="9">
        <v>28</v>
      </c>
      <c r="E10" s="9">
        <v>66</v>
      </c>
      <c r="G10" s="9">
        <v>1.2</v>
      </c>
      <c r="H10" s="9">
        <v>408</v>
      </c>
      <c r="J10" s="9">
        <v>0.5</v>
      </c>
      <c r="K10" s="9">
        <v>349</v>
      </c>
    </row>
    <row r="11" spans="1:11" x14ac:dyDescent="0.25">
      <c r="A11" s="9">
        <v>30.1</v>
      </c>
      <c r="B11" s="9">
        <v>64</v>
      </c>
      <c r="D11" s="9">
        <v>29</v>
      </c>
      <c r="E11" s="9">
        <v>70</v>
      </c>
      <c r="G11" s="9">
        <v>1.3</v>
      </c>
      <c r="H11" s="9">
        <v>399</v>
      </c>
      <c r="J11" s="9">
        <v>0.6</v>
      </c>
      <c r="K11" s="9">
        <v>344</v>
      </c>
    </row>
    <row r="12" spans="1:11" x14ac:dyDescent="0.25">
      <c r="A12" s="9">
        <v>30.8</v>
      </c>
      <c r="B12" s="9">
        <v>68</v>
      </c>
      <c r="D12" s="9">
        <v>30</v>
      </c>
      <c r="E12" s="9">
        <v>70</v>
      </c>
      <c r="G12" s="9">
        <v>1.3</v>
      </c>
      <c r="H12" s="9">
        <v>410</v>
      </c>
      <c r="J12" s="9">
        <v>1.4</v>
      </c>
      <c r="K12" s="9">
        <v>366</v>
      </c>
    </row>
    <row r="13" spans="1:11" x14ac:dyDescent="0.25">
      <c r="A13" s="9">
        <v>31.2</v>
      </c>
      <c r="B13" s="9">
        <v>70</v>
      </c>
      <c r="D13" s="9">
        <v>31</v>
      </c>
      <c r="E13" s="9">
        <v>66</v>
      </c>
      <c r="G13" s="9">
        <v>1.4</v>
      </c>
      <c r="H13" s="9">
        <v>404</v>
      </c>
      <c r="J13" s="9">
        <v>1.5</v>
      </c>
      <c r="K13" s="9">
        <v>359</v>
      </c>
    </row>
    <row r="14" spans="1:11" x14ac:dyDescent="0.25">
      <c r="A14" s="9">
        <v>29</v>
      </c>
      <c r="B14" s="9">
        <v>58</v>
      </c>
      <c r="D14" s="9">
        <v>32</v>
      </c>
      <c r="E14" s="9">
        <v>60</v>
      </c>
      <c r="G14" s="9">
        <v>1.4</v>
      </c>
      <c r="H14" s="9">
        <v>401</v>
      </c>
      <c r="J14" s="9">
        <v>1.5</v>
      </c>
      <c r="K14" s="9">
        <v>373</v>
      </c>
    </row>
    <row r="15" spans="1:11" x14ac:dyDescent="0.25">
      <c r="A15" s="9">
        <v>27.8</v>
      </c>
      <c r="B15" s="9">
        <v>53</v>
      </c>
      <c r="D15" s="9">
        <v>33</v>
      </c>
      <c r="E15" s="9">
        <v>50</v>
      </c>
      <c r="G15" s="9">
        <v>4</v>
      </c>
      <c r="H15" s="9">
        <v>429</v>
      </c>
      <c r="J15" s="9">
        <v>1.6</v>
      </c>
      <c r="K15" s="9">
        <v>362</v>
      </c>
    </row>
    <row r="16" spans="1:11" x14ac:dyDescent="0.25">
      <c r="A16" s="9">
        <v>28.5</v>
      </c>
      <c r="B16" s="9">
        <v>54</v>
      </c>
      <c r="D16" s="9">
        <v>34</v>
      </c>
      <c r="E16" s="9">
        <v>38</v>
      </c>
      <c r="J16" s="9">
        <v>1.7</v>
      </c>
      <c r="K16" s="9">
        <v>370</v>
      </c>
    </row>
    <row r="17" spans="1:11" x14ac:dyDescent="0.25">
      <c r="A17" s="9">
        <v>30.4</v>
      </c>
      <c r="B17" s="9">
        <v>66</v>
      </c>
      <c r="D17" s="9">
        <v>35</v>
      </c>
      <c r="E17" s="9">
        <v>22</v>
      </c>
      <c r="J17" s="9">
        <v>1.8</v>
      </c>
      <c r="K17" s="9">
        <v>365</v>
      </c>
    </row>
    <row r="19" spans="1:11" x14ac:dyDescent="0.25">
      <c r="A19" s="3" t="s">
        <v>43</v>
      </c>
      <c r="B19" s="13">
        <f>CORREL(A6:A17,B6:B17)</f>
        <v>0.9805188471241901</v>
      </c>
      <c r="D19" s="3" t="s">
        <v>43</v>
      </c>
      <c r="E19" s="13">
        <f>CORREL(D6:D17,E6:E17)</f>
        <v>0</v>
      </c>
      <c r="G19" s="3" t="s">
        <v>43</v>
      </c>
      <c r="H19" s="13">
        <f>CORREL(G6:G15,H6:H15)</f>
        <v>0.8497995961369016</v>
      </c>
      <c r="J19" s="3" t="s">
        <v>43</v>
      </c>
      <c r="K19" s="13">
        <f>CORREL(J6:J17,K6:K17)</f>
        <v>0.8959539198754723</v>
      </c>
    </row>
    <row r="21" ht="16" customHeight="1" spans="1:11" x14ac:dyDescent="0.25">
      <c r="A21" s="14" t="s">
        <v>44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</sheetData>
  <mergeCells count="9">
    <mergeCell ref="A3:B3"/>
    <mergeCell ref="D3:E3"/>
    <mergeCell ref="G3:H3"/>
    <mergeCell ref="J3:K3"/>
    <mergeCell ref="A4:B4"/>
    <mergeCell ref="D4:E4"/>
    <mergeCell ref="G4:H4"/>
    <mergeCell ref="J4:K4"/>
    <mergeCell ref="A21:K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Doce días</vt:lpstr>
      <vt:lpstr>Cuatro casos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Correlación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