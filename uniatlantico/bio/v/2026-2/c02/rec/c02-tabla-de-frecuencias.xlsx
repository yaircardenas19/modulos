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Pesos" state="visible" r:id="rId5"/>
    <sheet sheetId="3" name="Tabla" state="visible" r:id="rId6"/>
  </sheets>
  <calcPr calcId="171027" fullCalcOnLoad="1"/>
</workbook>
</file>

<file path=xl/sharedStrings.xml><?xml version="1.0" encoding="utf-8"?>
<sst xmlns="http://schemas.openxmlformats.org/spreadsheetml/2006/main" count="39" uniqueCount="39">
  <si>
    <t>Capítulo 2 · De la planilla a la tabla y al gráfico</t>
  </si>
  <si>
    <t>Hoja del QR de recursos · Módulo de Bioestadística · Semestre 2026-2</t>
  </si>
  <si>
    <t>Qué trae este libro</t>
  </si>
  <si>
    <t>Pesos</t>
  </si>
  <si>
    <t>Los 60 pesos del bloque 1, tal como los entregó el operario.</t>
  </si>
  <si>
    <t>Tabla</t>
  </si>
  <si>
    <t>La tabla de frecuencias con sus cuatro columnas, hecha de dos formas, y la respuesta al comprador.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</si>
  <si>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</si>
  <si>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</si>
  <si>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</si>
  <si>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</si>
  <si>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</si>
  <si>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</si>
  <si>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=CONTAR.SI(rango;"&lt;"&amp;375)</t>
  </si>
  <si>
    <t>cuenta los pesos menores que 375</t>
  </si>
  <si>
    <t>=FRECUENCIA(datos;límites)</t>
  </si>
  <si>
    <t>cuenta cuántos datos caen hasta cada límite</t>
  </si>
  <si>
    <t>=CONTAR.SI(rango;"&gt;="&amp;400)</t>
  </si>
  <si>
    <t>cuenta los peces de 400 g o más</t>
  </si>
  <si>
    <t>Si tu Excel está en inglés, las funciones aparecen con su nombre en inglés. Es la misma fórmula.</t>
  </si>
  <si>
    <t>Pez</t>
  </si>
  <si>
    <t>Peso (g)</t>
  </si>
  <si>
    <t>Tabla de frecuencias de los 60 pesos</t>
  </si>
  <si>
    <t>Siete clases de 25 g desde 325, como en el bloque 4 del libro.</t>
  </si>
  <si>
    <t>Desde (g)</t>
  </si>
  <si>
    <t>Hasta (g)</t>
  </si>
  <si>
    <t>Clase</t>
  </si>
  <si>
    <t>fᵢ con CONTAR.SI</t>
  </si>
  <si>
    <t>fᵢ con FRECUENCIA</t>
  </si>
  <si>
    <t>hᵢ</t>
  </si>
  <si>
    <t>Fᵢ</t>
  </si>
  <si>
    <t>Hᵢ</t>
  </si>
  <si>
    <t>Límite para FRECUENCIA</t>
  </si>
  <si>
    <t>Total</t>
  </si>
  <si>
    <t>La pregunta del comprador: ¿qué parte de la cosecha pesa 400 g o más?</t>
  </si>
  <si>
    <t>Contando en la lista:</t>
  </si>
  <si>
    <t>peces</t>
  </si>
  <si>
    <t>Leyendo la acumulada: 1 − Hᵢ de la clase [375 – 400)</t>
  </si>
  <si>
    <t>FRECUENCIA cuenta los datos MENORES O IGUALES a cada límite, y la tabla del libro usa clases que incluyen el borde de abajo y excluyen el de arriba. Como los pesos son números enteros, la clase [350 – 375) es «hasta 374»: por eso la columna J resta 1. Las dos columnas tienen que dar lo mismo.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</si>
</sst>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i/>
      <color rgb="FF1F2A2E"/>
    </font>
  </fonts>
  <fills count="5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EDEAE0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4" borderId="1" xfId="0" applyFont="1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8" spans="1:1" x14ac:dyDescent="0.25">
      <c r="A8" s="3" t="s">
        <v>7</v>
      </c>
    </row>
    <row r="9" spans="1:2" x14ac:dyDescent="0.25">
      <c r="A9" s="5" t="s">
        <v>8</v>
      </c>
      <c r="B9" t="s">
        <v>9</v>
      </c>
    </row>
    <row r="10" spans="1:2" x14ac:dyDescent="0.25">
      <c r="A10" s="6" t="s">
        <v>10</v>
      </c>
      <c r="B10" t="s">
        <v>11</v>
      </c>
    </row>
    <row r="12" spans="1:1" x14ac:dyDescent="0.25">
      <c r="A12" s="3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5" spans="1:2" x14ac:dyDescent="0.25">
      <c r="A15" s="7" t="s">
        <v>17</v>
      </c>
      <c r="B15" t="s">
        <v>18</v>
      </c>
    </row>
    <row r="17" spans="1:1" x14ac:dyDescent="0.25">
      <c r="A17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FormatPr defaultRowHeight="16" outlineLevelRow="0" outlineLevelCol="0" x14ac:dyDescent="55" customHeight="1"/>
  <cols>
    <col min="1" max="1" width="8" customWidth="1"/>
    <col min="2" max="2" width="12" customWidth="1"/>
  </cols>
  <sheetData>
    <row r="1" spans="1:2" x14ac:dyDescent="0.25">
      <c r="A1" s="8" t="s">
        <v>20</v>
      </c>
      <c r="B1" s="8" t="s">
        <v>21</v>
      </c>
    </row>
    <row r="2" spans="1:2" x14ac:dyDescent="0.25">
      <c r="A2" s="9">
        <v>1</v>
      </c>
      <c r="B2" s="9">
        <v>387</v>
      </c>
    </row>
    <row r="3" spans="1:2" x14ac:dyDescent="0.25">
      <c r="A3" s="9">
        <v>2</v>
      </c>
      <c r="B3" s="9">
        <v>412</v>
      </c>
    </row>
    <row r="4" spans="1:2" x14ac:dyDescent="0.25">
      <c r="A4" s="9">
        <v>3</v>
      </c>
      <c r="B4" s="9">
        <v>356</v>
      </c>
    </row>
    <row r="5" spans="1:2" x14ac:dyDescent="0.25">
      <c r="A5" s="9">
        <v>4</v>
      </c>
      <c r="B5" s="9">
        <v>401</v>
      </c>
    </row>
    <row r="6" spans="1:2" x14ac:dyDescent="0.25">
      <c r="A6" s="9">
        <v>5</v>
      </c>
      <c r="B6" s="9">
        <v>378</v>
      </c>
    </row>
    <row r="7" spans="1:2" x14ac:dyDescent="0.25">
      <c r="A7" s="9">
        <v>6</v>
      </c>
      <c r="B7" s="9">
        <v>425</v>
      </c>
    </row>
    <row r="8" spans="1:2" x14ac:dyDescent="0.25">
      <c r="A8" s="9">
        <v>7</v>
      </c>
      <c r="B8" s="9">
        <v>344</v>
      </c>
    </row>
    <row r="9" spans="1:2" x14ac:dyDescent="0.25">
      <c r="A9" s="9">
        <v>8</v>
      </c>
      <c r="B9" s="9">
        <v>396</v>
      </c>
    </row>
    <row r="10" spans="1:2" x14ac:dyDescent="0.25">
      <c r="A10" s="9">
        <v>9</v>
      </c>
      <c r="B10" s="9">
        <v>408</v>
      </c>
    </row>
    <row r="11" spans="1:2" x14ac:dyDescent="0.25">
      <c r="A11" s="9">
        <v>10</v>
      </c>
      <c r="B11" s="9">
        <v>371</v>
      </c>
    </row>
    <row r="12" spans="1:2" x14ac:dyDescent="0.25">
      <c r="A12" s="9">
        <v>11</v>
      </c>
      <c r="B12" s="9">
        <v>433</v>
      </c>
    </row>
    <row r="13" spans="1:2" x14ac:dyDescent="0.25">
      <c r="A13" s="9">
        <v>12</v>
      </c>
      <c r="B13" s="9">
        <v>389</v>
      </c>
    </row>
    <row r="14" spans="1:2" x14ac:dyDescent="0.25">
      <c r="A14" s="9">
        <v>13</v>
      </c>
      <c r="B14" s="9">
        <v>362</v>
      </c>
    </row>
    <row r="15" spans="1:2" x14ac:dyDescent="0.25">
      <c r="A15" s="9">
        <v>14</v>
      </c>
      <c r="B15" s="9">
        <v>415</v>
      </c>
    </row>
    <row r="16" spans="1:2" x14ac:dyDescent="0.25">
      <c r="A16" s="9">
        <v>15</v>
      </c>
      <c r="B16" s="9">
        <v>398</v>
      </c>
    </row>
    <row r="17" spans="1:2" x14ac:dyDescent="0.25">
      <c r="A17" s="9">
        <v>16</v>
      </c>
      <c r="B17" s="9">
        <v>351</v>
      </c>
    </row>
    <row r="18" spans="1:2" x14ac:dyDescent="0.25">
      <c r="A18" s="9">
        <v>17</v>
      </c>
      <c r="B18" s="9">
        <v>407</v>
      </c>
    </row>
    <row r="19" spans="1:2" x14ac:dyDescent="0.25">
      <c r="A19" s="9">
        <v>18</v>
      </c>
      <c r="B19" s="9">
        <v>382</v>
      </c>
    </row>
    <row r="20" spans="1:2" x14ac:dyDescent="0.25">
      <c r="A20" s="9">
        <v>19</v>
      </c>
      <c r="B20" s="9">
        <v>441</v>
      </c>
    </row>
    <row r="21" spans="1:2" x14ac:dyDescent="0.25">
      <c r="A21" s="9">
        <v>20</v>
      </c>
      <c r="B21" s="9">
        <v>375</v>
      </c>
    </row>
    <row r="22" spans="1:2" x14ac:dyDescent="0.25">
      <c r="A22" s="9">
        <v>21</v>
      </c>
      <c r="B22" s="9">
        <v>394</v>
      </c>
    </row>
    <row r="23" spans="1:2" x14ac:dyDescent="0.25">
      <c r="A23" s="9">
        <v>22</v>
      </c>
      <c r="B23" s="9">
        <v>368</v>
      </c>
    </row>
    <row r="24" spans="1:2" x14ac:dyDescent="0.25">
      <c r="A24" s="9">
        <v>23</v>
      </c>
      <c r="B24" s="9">
        <v>419</v>
      </c>
    </row>
    <row r="25" spans="1:2" x14ac:dyDescent="0.25">
      <c r="A25" s="9">
        <v>24</v>
      </c>
      <c r="B25" s="9">
        <v>386</v>
      </c>
    </row>
    <row r="26" spans="1:2" x14ac:dyDescent="0.25">
      <c r="A26" s="9">
        <v>25</v>
      </c>
      <c r="B26" s="9">
        <v>402</v>
      </c>
    </row>
    <row r="27" spans="1:2" x14ac:dyDescent="0.25">
      <c r="A27" s="9">
        <v>26</v>
      </c>
      <c r="B27" s="9">
        <v>358</v>
      </c>
    </row>
    <row r="28" spans="1:2" x14ac:dyDescent="0.25">
      <c r="A28" s="9">
        <v>27</v>
      </c>
      <c r="B28" s="9">
        <v>391</v>
      </c>
    </row>
    <row r="29" spans="1:2" x14ac:dyDescent="0.25">
      <c r="A29" s="9">
        <v>28</v>
      </c>
      <c r="B29" s="9">
        <v>428</v>
      </c>
    </row>
    <row r="30" spans="1:2" x14ac:dyDescent="0.25">
      <c r="A30" s="9">
        <v>29</v>
      </c>
      <c r="B30" s="9">
        <v>373</v>
      </c>
    </row>
    <row r="31" spans="1:2" x14ac:dyDescent="0.25">
      <c r="A31" s="9">
        <v>30</v>
      </c>
      <c r="B31" s="9">
        <v>405</v>
      </c>
    </row>
    <row r="32" spans="1:2" x14ac:dyDescent="0.25">
      <c r="A32" s="9">
        <v>31</v>
      </c>
      <c r="B32" s="9">
        <v>381</v>
      </c>
    </row>
    <row r="33" spans="1:2" x14ac:dyDescent="0.25">
      <c r="A33" s="9">
        <v>32</v>
      </c>
      <c r="B33" s="9">
        <v>397</v>
      </c>
    </row>
    <row r="34" spans="1:2" x14ac:dyDescent="0.25">
      <c r="A34" s="9">
        <v>33</v>
      </c>
      <c r="B34" s="9">
        <v>364</v>
      </c>
    </row>
    <row r="35" spans="1:2" x14ac:dyDescent="0.25">
      <c r="A35" s="9">
        <v>34</v>
      </c>
      <c r="B35" s="9">
        <v>410</v>
      </c>
    </row>
    <row r="36" spans="1:2" x14ac:dyDescent="0.25">
      <c r="A36" s="9">
        <v>35</v>
      </c>
      <c r="B36" s="9">
        <v>385</v>
      </c>
    </row>
    <row r="37" spans="1:2" x14ac:dyDescent="0.25">
      <c r="A37" s="9">
        <v>36</v>
      </c>
      <c r="B37" s="9">
        <v>452</v>
      </c>
    </row>
    <row r="38" spans="1:2" x14ac:dyDescent="0.25">
      <c r="A38" s="9">
        <v>37</v>
      </c>
      <c r="B38" s="9">
        <v>379</v>
      </c>
    </row>
    <row r="39" spans="1:2" x14ac:dyDescent="0.25">
      <c r="A39" s="9">
        <v>38</v>
      </c>
      <c r="B39" s="9">
        <v>393</v>
      </c>
    </row>
    <row r="40" spans="1:2" x14ac:dyDescent="0.25">
      <c r="A40" s="9">
        <v>39</v>
      </c>
      <c r="B40" s="9">
        <v>366</v>
      </c>
    </row>
    <row r="41" spans="1:2" x14ac:dyDescent="0.25">
      <c r="A41" s="9">
        <v>40</v>
      </c>
      <c r="B41" s="9">
        <v>421</v>
      </c>
    </row>
    <row r="42" spans="1:2" x14ac:dyDescent="0.25">
      <c r="A42" s="9">
        <v>41</v>
      </c>
      <c r="B42" s="9">
        <v>399</v>
      </c>
    </row>
    <row r="43" spans="1:2" x14ac:dyDescent="0.25">
      <c r="A43" s="9">
        <v>42</v>
      </c>
      <c r="B43" s="9">
        <v>347</v>
      </c>
    </row>
    <row r="44" spans="1:2" x14ac:dyDescent="0.25">
      <c r="A44" s="9">
        <v>43</v>
      </c>
      <c r="B44" s="9">
        <v>388</v>
      </c>
    </row>
    <row r="45" spans="1:2" x14ac:dyDescent="0.25">
      <c r="A45" s="9">
        <v>44</v>
      </c>
      <c r="B45" s="9">
        <v>404</v>
      </c>
    </row>
    <row r="46" spans="1:2" x14ac:dyDescent="0.25">
      <c r="A46" s="9">
        <v>45</v>
      </c>
      <c r="B46" s="9">
        <v>376</v>
      </c>
    </row>
    <row r="47" spans="1:2" x14ac:dyDescent="0.25">
      <c r="A47" s="9">
        <v>46</v>
      </c>
      <c r="B47" s="9">
        <v>413</v>
      </c>
    </row>
    <row r="48" spans="1:2" x14ac:dyDescent="0.25">
      <c r="A48" s="9">
        <v>47</v>
      </c>
      <c r="B48" s="9">
        <v>392</v>
      </c>
    </row>
    <row r="49" spans="1:2" x14ac:dyDescent="0.25">
      <c r="A49" s="9">
        <v>48</v>
      </c>
      <c r="B49" s="9">
        <v>355</v>
      </c>
    </row>
    <row r="50" spans="1:2" x14ac:dyDescent="0.25">
      <c r="A50" s="9">
        <v>49</v>
      </c>
      <c r="B50" s="9">
        <v>384</v>
      </c>
    </row>
    <row r="51" spans="1:2" x14ac:dyDescent="0.25">
      <c r="A51" s="9">
        <v>50</v>
      </c>
      <c r="B51" s="9">
        <v>437</v>
      </c>
    </row>
    <row r="52" spans="1:2" x14ac:dyDescent="0.25">
      <c r="A52" s="9">
        <v>51</v>
      </c>
      <c r="B52" s="9">
        <v>369</v>
      </c>
    </row>
    <row r="53" spans="1:2" x14ac:dyDescent="0.25">
      <c r="A53" s="9">
        <v>52</v>
      </c>
      <c r="B53" s="9">
        <v>400</v>
      </c>
    </row>
    <row r="54" spans="1:2" x14ac:dyDescent="0.25">
      <c r="A54" s="9">
        <v>53</v>
      </c>
      <c r="B54" s="9">
        <v>383</v>
      </c>
    </row>
    <row r="55" spans="1:2" x14ac:dyDescent="0.25">
      <c r="A55" s="9">
        <v>54</v>
      </c>
      <c r="B55" s="9">
        <v>418</v>
      </c>
    </row>
    <row r="56" spans="1:2" x14ac:dyDescent="0.25">
      <c r="A56" s="9">
        <v>55</v>
      </c>
      <c r="B56" s="9">
        <v>361</v>
      </c>
    </row>
    <row r="57" spans="1:2" x14ac:dyDescent="0.25">
      <c r="A57" s="9">
        <v>56</v>
      </c>
      <c r="B57" s="9">
        <v>395</v>
      </c>
    </row>
    <row r="58" spans="1:2" x14ac:dyDescent="0.25">
      <c r="A58" s="9">
        <v>57</v>
      </c>
      <c r="B58" s="9">
        <v>372</v>
      </c>
    </row>
    <row r="59" spans="1:2" x14ac:dyDescent="0.25">
      <c r="A59" s="9">
        <v>58</v>
      </c>
      <c r="B59" s="9">
        <v>406</v>
      </c>
    </row>
    <row r="60" spans="1:2" x14ac:dyDescent="0.25">
      <c r="A60" s="9">
        <v>59</v>
      </c>
      <c r="B60" s="9">
        <v>480</v>
      </c>
    </row>
    <row r="61" spans="1:2" x14ac:dyDescent="0.25">
      <c r="A61" s="9">
        <v>60</v>
      </c>
      <c r="B61" s="9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6" outlineLevelRow="0" outlineLevelCol="0" x14ac:dyDescent="55" customHeight="1"/>
  <cols>
    <col min="1" max="2" width="10" customWidth="1"/>
    <col min="3" max="3" width="14" customWidth="1"/>
    <col min="4" max="5" width="13" customWidth="1"/>
    <col min="6" max="8" width="10" customWidth="1"/>
    <col min="9" max="9" width="4" customWidth="1"/>
    <col min="10" max="10" width="14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4" spans="1:10" x14ac:dyDescent="0.25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J4" s="8" t="s">
        <v>32</v>
      </c>
    </row>
    <row r="5" spans="1:10" x14ac:dyDescent="0.25">
      <c r="A5" s="10">
        <v>325</v>
      </c>
      <c r="B5" s="10">
        <v>350</v>
      </c>
      <c r="C5" s="9" t="str">
        <f>"["&amp;A5&amp;" – "&amp;B5&amp;")"</f>
        <v>[325 – 350)</v>
      </c>
      <c r="D5" s="9">
        <f>COUNTIF(Pesos!$B$2:$B$61,"&lt;"&amp;B5)-COUNTIF(Pesos!$B$2:$B$61,"&lt;"&amp;A5)</f>
        <v>2</v>
      </c>
      <c r="E5" s="9">
        <f>INDEX(FREQUENCY(Pesos!$B$2:$B$61,$J$5:$J$11),1)</f>
        <v>2</v>
      </c>
      <c r="F5" s="11">
        <f>D5/$D$12</f>
        <v>0.03333333333333333</v>
      </c>
      <c r="G5" s="9">
        <f>SUM($D$5:D5)</f>
        <v>2</v>
      </c>
      <c r="H5" s="11">
        <f>G5/$D$12</f>
        <v>0.03333333333333333</v>
      </c>
      <c r="J5" s="9">
        <f>B5-1</f>
        <v>349</v>
      </c>
    </row>
    <row r="6" spans="1:10" x14ac:dyDescent="0.25">
      <c r="A6" s="10">
        <v>350</v>
      </c>
      <c r="B6" s="10">
        <v>375</v>
      </c>
      <c r="C6" s="9" t="str">
        <f>"["&amp;A6&amp;" – "&amp;B6&amp;")"</f>
        <v>[350 – 375)</v>
      </c>
      <c r="D6" s="9">
        <f>COUNTIF(Pesos!$B$2:$B$61,"&lt;"&amp;B6)-COUNTIF(Pesos!$B$2:$B$61,"&lt;"&amp;A6)</f>
        <v>13</v>
      </c>
      <c r="E6" s="9">
        <f>INDEX(FREQUENCY(Pesos!$B$2:$B$61,$J$5:$J$11),2)</f>
        <v>13</v>
      </c>
      <c r="F6" s="11">
        <f>D6/$D$12</f>
        <v>0.21666666666666667</v>
      </c>
      <c r="G6" s="9">
        <f>SUM($D$5:D6)</f>
        <v>15</v>
      </c>
      <c r="H6" s="11">
        <f>G6/$D$12</f>
        <v>0.25</v>
      </c>
      <c r="J6" s="9">
        <f>B6-1</f>
        <v>374</v>
      </c>
    </row>
    <row r="7" spans="1:10" x14ac:dyDescent="0.25">
      <c r="A7" s="10">
        <v>375</v>
      </c>
      <c r="B7" s="10">
        <v>400</v>
      </c>
      <c r="C7" s="9" t="str">
        <f>"["&amp;A7&amp;" – "&amp;B7&amp;")"</f>
        <v>[375 – 400)</v>
      </c>
      <c r="D7" s="9">
        <f>COUNTIF(Pesos!$B$2:$B$61,"&lt;"&amp;B7)-COUNTIF(Pesos!$B$2:$B$61,"&lt;"&amp;A7)</f>
        <v>23</v>
      </c>
      <c r="E7" s="9">
        <f>INDEX(FREQUENCY(Pesos!$B$2:$B$61,$J$5:$J$11),3)</f>
        <v>23</v>
      </c>
      <c r="F7" s="11">
        <f>D7/$D$12</f>
        <v>0.38333333333333336</v>
      </c>
      <c r="G7" s="9">
        <f>SUM($D$5:D7)</f>
        <v>38</v>
      </c>
      <c r="H7" s="11">
        <f>G7/$D$12</f>
        <v>0.6333333333333333</v>
      </c>
      <c r="J7" s="9">
        <f>B7-1</f>
        <v>399</v>
      </c>
    </row>
    <row r="8" spans="1:10" x14ac:dyDescent="0.25">
      <c r="A8" s="10">
        <v>400</v>
      </c>
      <c r="B8" s="10">
        <v>425</v>
      </c>
      <c r="C8" s="9" t="str">
        <f>"["&amp;A8&amp;" – "&amp;B8&amp;")"</f>
        <v>[400 – 425)</v>
      </c>
      <c r="D8" s="9">
        <f>COUNTIF(Pesos!$B$2:$B$61,"&lt;"&amp;B8)-COUNTIF(Pesos!$B$2:$B$61,"&lt;"&amp;A8)</f>
        <v>15</v>
      </c>
      <c r="E8" s="9">
        <f>INDEX(FREQUENCY(Pesos!$B$2:$B$61,$J$5:$J$11),4)</f>
        <v>15</v>
      </c>
      <c r="F8" s="11">
        <f>D8/$D$12</f>
        <v>0.25</v>
      </c>
      <c r="G8" s="9">
        <f>SUM($D$5:D8)</f>
        <v>53</v>
      </c>
      <c r="H8" s="11">
        <f>G8/$D$12</f>
        <v>0.8833333333333333</v>
      </c>
      <c r="J8" s="9">
        <f>B8-1</f>
        <v>424</v>
      </c>
    </row>
    <row r="9" spans="1:10" x14ac:dyDescent="0.25">
      <c r="A9" s="10">
        <v>425</v>
      </c>
      <c r="B9" s="10">
        <v>450</v>
      </c>
      <c r="C9" s="9" t="str">
        <f>"["&amp;A9&amp;" – "&amp;B9&amp;")"</f>
        <v>[425 – 450)</v>
      </c>
      <c r="D9" s="9">
        <f>COUNTIF(Pesos!$B$2:$B$61,"&lt;"&amp;B9)-COUNTIF(Pesos!$B$2:$B$61,"&lt;"&amp;A9)</f>
        <v>5</v>
      </c>
      <c r="E9" s="9">
        <f>INDEX(FREQUENCY(Pesos!$B$2:$B$61,$J$5:$J$11),5)</f>
        <v>5</v>
      </c>
      <c r="F9" s="11">
        <f>D9/$D$12</f>
        <v>0.08333333333333333</v>
      </c>
      <c r="G9" s="9">
        <f>SUM($D$5:D9)</f>
        <v>58</v>
      </c>
      <c r="H9" s="11">
        <f>G9/$D$12</f>
        <v>0.9666666666666667</v>
      </c>
      <c r="J9" s="9">
        <f>B9-1</f>
        <v>449</v>
      </c>
    </row>
    <row r="10" spans="1:10" x14ac:dyDescent="0.25">
      <c r="A10" s="10">
        <v>450</v>
      </c>
      <c r="B10" s="10">
        <v>475</v>
      </c>
      <c r="C10" s="9" t="str">
        <f>"["&amp;A10&amp;" – "&amp;B10&amp;")"</f>
        <v>[450 – 475)</v>
      </c>
      <c r="D10" s="9">
        <f>COUNTIF(Pesos!$B$2:$B$61,"&lt;"&amp;B10)-COUNTIF(Pesos!$B$2:$B$61,"&lt;"&amp;A10)</f>
        <v>1</v>
      </c>
      <c r="E10" s="9">
        <f>INDEX(FREQUENCY(Pesos!$B$2:$B$61,$J$5:$J$11),6)</f>
        <v>1</v>
      </c>
      <c r="F10" s="11">
        <f>D10/$D$12</f>
        <v>0.016666666666666666</v>
      </c>
      <c r="G10" s="9">
        <f>SUM($D$5:D10)</f>
        <v>59</v>
      </c>
      <c r="H10" s="11">
        <f>G10/$D$12</f>
        <v>0.9833333333333333</v>
      </c>
      <c r="J10" s="9">
        <f>B10-1</f>
        <v>474</v>
      </c>
    </row>
    <row r="11" spans="1:10" x14ac:dyDescent="0.25">
      <c r="A11" s="10">
        <v>475</v>
      </c>
      <c r="B11" s="10">
        <v>500</v>
      </c>
      <c r="C11" s="9" t="str">
        <f>"["&amp;A11&amp;" – "&amp;B11&amp;")"</f>
        <v>[475 – 500)</v>
      </c>
      <c r="D11" s="9">
        <f>COUNTIF(Pesos!$B$2:$B$61,"&lt;"&amp;B11)-COUNTIF(Pesos!$B$2:$B$61,"&lt;"&amp;A11)</f>
        <v>1</v>
      </c>
      <c r="E11" s="9">
        <f>INDEX(FREQUENCY(Pesos!$B$2:$B$61,$J$5:$J$11),7)</f>
        <v>1</v>
      </c>
      <c r="F11" s="11">
        <f>D11/$D$12</f>
        <v>0.016666666666666666</v>
      </c>
      <c r="G11" s="9">
        <f>SUM($D$5:D11)</f>
        <v>60</v>
      </c>
      <c r="H11" s="11">
        <f>G11/$D$12</f>
        <v>1</v>
      </c>
      <c r="J11" s="9">
        <f>B11-1</f>
        <v>499</v>
      </c>
    </row>
    <row r="12" spans="3:6" x14ac:dyDescent="0.25">
      <c r="C12" s="3" t="s">
        <v>33</v>
      </c>
      <c r="D12" s="12">
        <f>SUM(D5:D11)</f>
        <v>60</v>
      </c>
      <c r="E12" s="12">
        <f>SUM(E5:E11)</f>
        <v>60</v>
      </c>
      <c r="F12" s="13">
        <f>SUM(F5:F11)</f>
        <v>1</v>
      </c>
    </row>
    <row r="14" spans="1:1" x14ac:dyDescent="0.25">
      <c r="A14" s="3" t="s">
        <v>34</v>
      </c>
    </row>
    <row r="15" spans="1:7" x14ac:dyDescent="0.25">
      <c r="A15" t="s">
        <v>35</v>
      </c>
      <c r="E15" s="12">
        <f>COUNTIF(Pesos!$B$2:$B$61,"&gt;=400")</f>
        <v>22</v>
      </c>
      <c r="F15" t="s">
        <v>36</v>
      </c>
      <c r="G15" s="14">
        <f>E15/COUNT(Pesos!$B$2:$B$61)</f>
        <v>0.36666666666666664</v>
      </c>
    </row>
    <row r="16" spans="1:7" x14ac:dyDescent="0.25">
      <c r="A16" t="s">
        <v>37</v>
      </c>
      <c r="G16" s="14">
        <f>1-H7</f>
        <v>0.3666666666666667</v>
      </c>
    </row>
    <row r="18" ht="20" customHeight="1" spans="1:10" x14ac:dyDescent="0.25">
      <c r="A18" s="15" t="s">
        <v>38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spans="1:1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</row>
  </sheetData>
  <mergeCells count="1">
    <mergeCell ref="A18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Léeme</vt:lpstr>
      <vt:lpstr>Pesos</vt:lpstr>
      <vt:lpstr>Tabla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Tabla de frecuencias</dc:title>
  <dc:subject/>
  <dc:description/>
  <cp:keywords/>
  <cp:category/>
  <cp:lastModifiedBy>Unknown</cp:lastModifiedBy>
  <dcterms:created xsi:type="dcterms:W3CDTF">2026-09-19T13:43:35Z</dcterms:created>
  <dcterms:modified xsi:type="dcterms:W3CDTF">2026-09-19T13:43:35Z</dcterms:modified>
</cp:coreProperties>
</file>