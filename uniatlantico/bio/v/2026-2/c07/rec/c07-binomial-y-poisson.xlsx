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Binomial" state="visible" r:id="rId5"/>
    <sheet sheetId="3" name="Poisson" state="visible" r:id="rId6"/>
  </sheets>
  <calcPr calcId="171027" fullCalcOnLoad="1"/>
</workbook>
</file>

<file path=xl/sharedStrings.xml><?xml version="1.0" encoding="utf-8"?>
<sst xmlns="http://schemas.openxmlformats.org/spreadsheetml/2006/main" count="43" uniqueCount="39">
  <si>
    <t>Capítulo 7 · Contar éxitos y contar sucesos raros</t>
  </si>
  <si>
    <t>Hoja del QR de recursos · Módulo de Bioestadística · Semestre 2026-2</t>
  </si>
  <si>
    <t>Qué trae este libro</t>
  </si>
  <si>
    <t>Binomial</t>
  </si>
  <si>
    <t>Revisar 20 alevinos con 5 % de malformación: la distribución completa.</t>
  </si>
  <si>
    <t>Poisson</t>
  </si>
  <si>
    <t>Muertos por día con promedio 3: la distribución completa y el umbral de alarma.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</si>
  <si>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</si>
  <si>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</si>
  <si>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</si>
  <si>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</si>
  <si>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</si>
  <si>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</si>
  <si>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=DISTR.BINOM.N(x;n;p;FALSO)</t>
  </si>
  <si>
    <t>P(X = x) en la binomial</t>
  </si>
  <si>
    <t>=DISTR.BINOM.N(x;n;p;VERDADERO)</t>
  </si>
  <si>
    <t>P(X ≤ x), la acumulada</t>
  </si>
  <si>
    <t>=POISSON.DIST(x;λ;FALSO)</t>
  </si>
  <si>
    <t>P(X = x) en la de Poisson</t>
  </si>
  <si>
    <t>=POISSON.DIST(x;λ;VERDADERO)</t>
  </si>
  <si>
    <t>Si tu Excel está en inglés, las funciones aparecen con su nombre en inglés. Es la misma fórmula.</t>
  </si>
  <si>
    <t>Binomial: número fijo de intentos</t>
  </si>
  <si>
    <t>Se decidió revisar 20 alevinos.</t>
  </si>
  <si>
    <t>x</t>
  </si>
  <si>
    <t>P(X = x)</t>
  </si>
  <si>
    <t>P(X ≤ x)</t>
  </si>
  <si>
    <t>n (alevinos revisados)</t>
  </si>
  <si>
    <t>p (probabilidad de malformación)</t>
  </si>
  <si>
    <t>P(ningún alevín malo)</t>
  </si>
  <si>
    <t>P(al menos uno malo) = 1 − P(X = 0)</t>
  </si>
  <si>
    <t>Esperanza: n·p</t>
  </si>
  <si>
    <t>Aunque el lote venga con su 5 % completo, en el 36 % de las revisiones de 20 no aparece ni un alevín malo. El control es demasiado chico para garantizar nada.</t>
  </si>
  <si>
    <t>Poisson: sucesos raros sin número de intentos</t>
  </si>
  <si>
    <t>Nadie fija cuántos «intentos de morirse» hay: solo se cuenta lo que ocurrió.</t>
  </si>
  <si>
    <t>λ (muertos por día, en promedio)</t>
  </si>
  <si>
    <t>P(X = 7)</t>
  </si>
  <si>
    <t>P(X ≥ 7) = 1 − P(X ≤ 6)</t>
  </si>
  <si>
    <t>P(ningún muerto)</t>
  </si>
  <si>
    <t>Un día con 7 o más muertos pasa unos 3 días de cada 100 con promedio 3: llamativo, pero no excepcional. Y un día con 0 muertos pasa 5 de cada 100. Cambia λ y mira cómo se corre todo.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</si>
</sst>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i/>
      <color rgb="FF1F2A2E"/>
    </font>
  </fonts>
  <fills count="5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2" fontId="0" fillId="2" borderId="1" xfId="0" applyNumberFormat="1" applyFill="1" applyBorder="1"/>
    <xf numFmtId="165" fontId="3" fillId="3" borderId="1" xfId="0" applyNumberFormat="1" applyFont="1" applyFill="1" applyBorder="1"/>
    <xf numFmtId="166" fontId="3" fillId="3" borderId="1" xfId="0" applyNumberFormat="1" applyFont="1" applyFill="1" applyBorder="1"/>
    <xf numFmtId="0" fontId="5" fillId="0" borderId="0" xfId="0" applyFont="1" applyAlignment="1">
      <alignment vertical="top"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5" spans="1:2" x14ac:dyDescent="0.25">
      <c r="A15" s="7" t="s">
        <v>17</v>
      </c>
      <c r="B15" t="s">
        <v>18</v>
      </c>
    </row>
    <row r="16" spans="1:2" x14ac:dyDescent="0.25">
      <c r="A16" s="7" t="s">
        <v>19</v>
      </c>
      <c r="B16" t="s">
        <v>16</v>
      </c>
    </row>
    <row r="18" spans="1:1" x14ac:dyDescent="0.25">
      <c r="A18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6" outlineLevelRow="0" outlineLevelCol="0" x14ac:dyDescent="55" customHeight="1"/>
  <cols>
    <col min="1" max="1" width="8" customWidth="1"/>
    <col min="2" max="3" width="16" customWidth="1"/>
    <col min="4" max="4" width="4" customWidth="1"/>
    <col min="5" max="5" width="34" customWidth="1"/>
    <col min="6" max="6" width="12" customWidth="1"/>
  </cols>
  <sheetData>
    <row r="1" spans="1:1" x14ac:dyDescent="0.25">
      <c r="A1" s="1" t="s">
        <v>21</v>
      </c>
    </row>
    <row r="2" spans="1:1" x14ac:dyDescent="0.25">
      <c r="A2" s="2" t="s">
        <v>22</v>
      </c>
    </row>
    <row r="4" spans="1:6" x14ac:dyDescent="0.25">
      <c r="A4" s="8" t="s">
        <v>23</v>
      </c>
      <c r="B4" s="8" t="s">
        <v>24</v>
      </c>
      <c r="C4" s="8" t="s">
        <v>25</v>
      </c>
      <c r="E4" t="s">
        <v>26</v>
      </c>
      <c r="F4" s="9">
        <v>20</v>
      </c>
    </row>
    <row r="5" spans="1:6" x14ac:dyDescent="0.25">
      <c r="A5" s="10">
        <v>0</v>
      </c>
      <c r="B5" s="11">
        <f>_xlfn.BINOM.DIST(A5,$F$4,$F$5,FALSE)</f>
        <v>0.3584859224085419</v>
      </c>
      <c r="C5" s="11">
        <f>_xlfn.BINOM.DIST(A5,$F$4,$F$5,TRUE)</f>
        <v>0.3584859224085419</v>
      </c>
      <c r="E5" t="s">
        <v>27</v>
      </c>
      <c r="F5" s="12">
        <v>0.05</v>
      </c>
    </row>
    <row r="6" spans="1:3" x14ac:dyDescent="0.25">
      <c r="A6" s="10">
        <v>1</v>
      </c>
      <c r="B6" s="11">
        <f>_xlfn.BINOM.DIST(A6,$F$4,$F$5,FALSE)</f>
        <v>0.37735360253530725</v>
      </c>
      <c r="C6" s="11">
        <f>_xlfn.BINOM.DIST(A6,$F$4,$F$5,TRUE)</f>
        <v>0.7358395249438492</v>
      </c>
    </row>
    <row r="7" spans="1:6" x14ac:dyDescent="0.25">
      <c r="A7" s="10">
        <v>2</v>
      </c>
      <c r="B7" s="11">
        <f>_xlfn.BINOM.DIST(A7,$F$4,$F$5,FALSE)</f>
        <v>0.18867680126765368</v>
      </c>
      <c r="C7" s="11">
        <f>_xlfn.BINOM.DIST(A7,$F$4,$F$5,TRUE)</f>
        <v>0.9245163262115028</v>
      </c>
      <c r="E7" t="s">
        <v>28</v>
      </c>
      <c r="F7" s="13">
        <f>B5</f>
        <v>0.3584859224085419</v>
      </c>
    </row>
    <row r="8" spans="1:6" x14ac:dyDescent="0.25">
      <c r="A8" s="10">
        <v>3</v>
      </c>
      <c r="B8" s="11">
        <f>_xlfn.BINOM.DIST(A8,$F$4,$F$5,FALSE)</f>
        <v>0.05958214776873275</v>
      </c>
      <c r="C8" s="11">
        <f>_xlfn.BINOM.DIST(A8,$F$4,$F$5,TRUE)</f>
        <v>0.9840984739802355</v>
      </c>
      <c r="E8" t="s">
        <v>29</v>
      </c>
      <c r="F8" s="13">
        <f>1-B5</f>
        <v>0.6415140775914581</v>
      </c>
    </row>
    <row r="9" spans="1:6" x14ac:dyDescent="0.25">
      <c r="A9" s="10">
        <v>4</v>
      </c>
      <c r="B9" s="11">
        <f>_xlfn.BINOM.DIST(A9,$F$4,$F$5,FALSE)</f>
        <v>0.013327585685111273</v>
      </c>
      <c r="C9" s="11">
        <f>_xlfn.BINOM.DIST(A9,$F$4,$F$5,TRUE)</f>
        <v>0.9974260596653468</v>
      </c>
      <c r="E9" t="s">
        <v>30</v>
      </c>
      <c r="F9" s="14">
        <f>F4*F5</f>
        <v>1</v>
      </c>
    </row>
    <row r="10" spans="1:3" x14ac:dyDescent="0.25">
      <c r="A10" s="10">
        <v>5</v>
      </c>
      <c r="B10" s="11">
        <f>_xlfn.BINOM.DIST(A10,$F$4,$F$5,FALSE)</f>
        <v>0.002244646010124004</v>
      </c>
      <c r="C10" s="11">
        <f>_xlfn.BINOM.DIST(A10,$F$4,$F$5,TRUE)</f>
        <v>0.9996707056754708</v>
      </c>
    </row>
    <row r="11" ht="16" customHeight="1" spans="1:6" x14ac:dyDescent="0.25">
      <c r="A11" s="10">
        <v>6</v>
      </c>
      <c r="B11" s="11">
        <f>_xlfn.BINOM.DIST(A11,$F$4,$F$5,FALSE)</f>
        <v>0.0002953481592268427</v>
      </c>
      <c r="C11" s="11">
        <f>_xlfn.BINOM.DIST(A11,$F$4,$F$5,TRUE)</f>
        <v>0.9999660538346976</v>
      </c>
      <c r="E11" s="15" t="s">
        <v>31</v>
      </c>
      <c r="F11" s="15"/>
    </row>
    <row r="12" spans="1:6" x14ac:dyDescent="0.25">
      <c r="A12" s="10">
        <v>7</v>
      </c>
      <c r="B12" s="11">
        <f>_xlfn.BINOM.DIST(A12,$F$4,$F$5,FALSE)</f>
        <v>0.00003108927991861502</v>
      </c>
      <c r="C12" s="11">
        <f>_xlfn.BINOM.DIST(A12,$F$4,$F$5,TRUE)</f>
        <v>0.9999971431146162</v>
      </c>
      <c r="E12" s="15"/>
      <c r="F12" s="15"/>
    </row>
    <row r="13" spans="1:6" x14ac:dyDescent="0.25">
      <c r="A13" s="10">
        <v>8</v>
      </c>
      <c r="B13" s="11">
        <f>_xlfn.BINOM.DIST(A13,$F$4,$F$5,FALSE)</f>
        <v>0.0000026589515719868117</v>
      </c>
      <c r="C13" s="11">
        <f>_xlfn.BINOM.DIST(A13,$F$4,$F$5,TRUE)</f>
        <v>0.9999998020661882</v>
      </c>
      <c r="E13" s="15"/>
      <c r="F13" s="15"/>
    </row>
    <row r="14" spans="1:6" x14ac:dyDescent="0.25">
      <c r="A14" s="10">
        <v>9</v>
      </c>
      <c r="B14" s="11">
        <f>_xlfn.BINOM.DIST(A14,$F$4,$F$5,FALSE)</f>
        <v>1.8659309277100433e-7</v>
      </c>
      <c r="C14" s="11">
        <f>_xlfn.BINOM.DIST(A14,$F$4,$F$5,TRUE)</f>
        <v>0.999999988659281</v>
      </c>
      <c r="E14" s="15"/>
      <c r="F14" s="15"/>
    </row>
    <row r="15" spans="1:6" x14ac:dyDescent="0.25">
      <c r="A15" s="10">
        <v>10</v>
      </c>
      <c r="B15" s="11">
        <f>_xlfn.BINOM.DIST(A15,$F$4,$F$5,FALSE)</f>
        <v>1.0802758002531831e-8</v>
      </c>
      <c r="C15" s="11">
        <f>_xlfn.BINOM.DIST(A15,$F$4,$F$5,TRUE)</f>
        <v>0.999999999462039</v>
      </c>
      <c r="E15" s="15"/>
      <c r="F15" s="15"/>
    </row>
    <row r="16" spans="1:3" x14ac:dyDescent="0.25">
      <c r="A16" s="10">
        <v>11</v>
      </c>
      <c r="B16" s="11">
        <f>_xlfn.BINOM.DIST(A16,$F$4,$F$5,FALSE)</f>
        <v>5.168783733268819e-10</v>
      </c>
      <c r="C16" s="11">
        <f>_xlfn.BINOM.DIST(A16,$F$4,$F$5,TRUE)</f>
        <v>0.9999999999789173</v>
      </c>
    </row>
    <row r="17" spans="1:3" x14ac:dyDescent="0.25">
      <c r="A17" s="10">
        <v>12</v>
      </c>
      <c r="B17" s="11">
        <f>_xlfn.BINOM.DIST(A17,$F$4,$F$5,FALSE)</f>
        <v>2.0403093683955864e-11</v>
      </c>
      <c r="C17" s="11">
        <f>_xlfn.BINOM.DIST(A17,$F$4,$F$5,TRUE)</f>
        <v>0.9999999999993204</v>
      </c>
    </row>
    <row r="18" spans="1:3" x14ac:dyDescent="0.25">
      <c r="A18" s="10">
        <v>13</v>
      </c>
      <c r="B18" s="11">
        <f>_xlfn.BINOM.DIST(A18,$F$4,$F$5,FALSE)</f>
        <v>6.608289452293398e-13</v>
      </c>
      <c r="C18" s="11">
        <f>_xlfn.BINOM.DIST(A18,$F$4,$F$5,TRUE)</f>
        <v>0.9999999999999812</v>
      </c>
    </row>
    <row r="19" spans="1:3" x14ac:dyDescent="0.25">
      <c r="A19" s="10">
        <v>14</v>
      </c>
      <c r="B19" s="11">
        <f>_xlfn.BINOM.DIST(A19,$F$4,$F$5,FALSE)</f>
        <v>1.7390235400772103e-14</v>
      </c>
      <c r="C19" s="11">
        <f>_xlfn.BINOM.DIST(A19,$F$4,$F$5,TRUE)</f>
        <v>0.9999999999999987</v>
      </c>
    </row>
    <row r="20" spans="1:3" x14ac:dyDescent="0.25">
      <c r="A20" s="10">
        <v>15</v>
      </c>
      <c r="B20" s="11">
        <f>_xlfn.BINOM.DIST(A20,$F$4,$F$5,FALSE)</f>
        <v>3.6611021896362324e-16</v>
      </c>
      <c r="C20" s="11">
        <f>_xlfn.BINOM.DIST(A20,$F$4,$F$5,TRUE)</f>
        <v>0.999999999999999</v>
      </c>
    </row>
    <row r="21" spans="1:3" x14ac:dyDescent="0.25">
      <c r="A21" s="10">
        <v>16</v>
      </c>
      <c r="B21" s="11">
        <f>_xlfn.BINOM.DIST(A21,$F$4,$F$5,FALSE)</f>
        <v>6.021549654006962e-18</v>
      </c>
      <c r="C21" s="11">
        <f>_xlfn.BINOM.DIST(A21,$F$4,$F$5,TRUE)</f>
        <v>0.999999999999999</v>
      </c>
    </row>
    <row r="22" spans="1:3" x14ac:dyDescent="0.25">
      <c r="A22" s="10">
        <v>17</v>
      </c>
      <c r="B22" s="11">
        <f>_xlfn.BINOM.DIST(A22,$F$4,$F$5,FALSE)</f>
        <v>7.457027435302741e-20</v>
      </c>
      <c r="C22" s="11">
        <f>_xlfn.BINOM.DIST(A22,$F$4,$F$5,TRUE)</f>
        <v>0.999999999999999</v>
      </c>
    </row>
    <row r="23" spans="1:3" x14ac:dyDescent="0.25">
      <c r="A23" s="10">
        <v>18</v>
      </c>
      <c r="B23" s="11">
        <f>_xlfn.BINOM.DIST(A23,$F$4,$F$5,FALSE)</f>
        <v>6.541252136230476e-22</v>
      </c>
      <c r="C23" s="11">
        <f>_xlfn.BINOM.DIST(A23,$F$4,$F$5,TRUE)</f>
        <v>0.999999999999999</v>
      </c>
    </row>
    <row r="24" spans="1:3" x14ac:dyDescent="0.25">
      <c r="A24" s="10">
        <v>19</v>
      </c>
      <c r="B24" s="11">
        <f>_xlfn.BINOM.DIST(A24,$F$4,$F$5,FALSE)</f>
        <v>3.6239624023437535e-24</v>
      </c>
      <c r="C24" s="11">
        <f>_xlfn.BINOM.DIST(A24,$F$4,$F$5,TRUE)</f>
        <v>0.999999999999999</v>
      </c>
    </row>
    <row r="25" spans="1:3" x14ac:dyDescent="0.25">
      <c r="A25" s="10">
        <v>20</v>
      </c>
      <c r="B25" s="11">
        <f>_xlfn.BINOM.DIST(A25,$F$4,$F$5,FALSE)</f>
        <v>9.536743164062511e-27</v>
      </c>
      <c r="C25" s="11">
        <f>_xlfn.BINOM.DIST(A25,$F$4,$F$5,TRUE)</f>
        <v>0.999999999999999</v>
      </c>
    </row>
  </sheetData>
  <mergeCells count="1">
    <mergeCell ref="E11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6" outlineLevelRow="0" outlineLevelCol="0" x14ac:dyDescent="55" customHeight="1"/>
  <cols>
    <col min="1" max="1" width="8" customWidth="1"/>
    <col min="2" max="3" width="16" customWidth="1"/>
    <col min="4" max="4" width="4" customWidth="1"/>
    <col min="5" max="5" width="38" customWidth="1"/>
    <col min="6" max="6" width="12" customWidth="1"/>
  </cols>
  <sheetData>
    <row r="1" spans="1:1" x14ac:dyDescent="0.25">
      <c r="A1" s="1" t="s">
        <v>32</v>
      </c>
    </row>
    <row r="2" spans="1:1" x14ac:dyDescent="0.25">
      <c r="A2" s="2" t="s">
        <v>33</v>
      </c>
    </row>
    <row r="4" spans="1:6" x14ac:dyDescent="0.25">
      <c r="A4" s="8" t="s">
        <v>23</v>
      </c>
      <c r="B4" s="8" t="s">
        <v>24</v>
      </c>
      <c r="C4" s="8" t="s">
        <v>25</v>
      </c>
      <c r="E4" t="s">
        <v>34</v>
      </c>
      <c r="F4" s="9">
        <v>3</v>
      </c>
    </row>
    <row r="5" spans="1:3" x14ac:dyDescent="0.25">
      <c r="A5" s="10">
        <v>0</v>
      </c>
      <c r="B5" s="11">
        <f>_xlfn.POISSON.DIST(A5,$F$4,FALSE)</f>
        <v>0.049787068367863986</v>
      </c>
      <c r="C5" s="11">
        <f>_xlfn.POISSON.DIST(A5,$F$4,TRUE)</f>
        <v>0.049787068367863986</v>
      </c>
    </row>
    <row r="6" spans="1:3" x14ac:dyDescent="0.25">
      <c r="A6" s="10">
        <v>1</v>
      </c>
      <c r="B6" s="11">
        <f>_xlfn.POISSON.DIST(A6,$F$4,FALSE)</f>
        <v>0.1493612051035918</v>
      </c>
      <c r="C6" s="11">
        <f>_xlfn.POISSON.DIST(A6,$F$4,TRUE)</f>
        <v>0.19914827347145578</v>
      </c>
    </row>
    <row r="7" spans="1:6" x14ac:dyDescent="0.25">
      <c r="A7" s="10">
        <v>2</v>
      </c>
      <c r="B7" s="11">
        <f>_xlfn.POISSON.DIST(A7,$F$4,FALSE)</f>
        <v>0.22404180765538748</v>
      </c>
      <c r="C7" s="11">
        <f>_xlfn.POISSON.DIST(A7,$F$4,TRUE)</f>
        <v>0.42319008112684325</v>
      </c>
      <c r="E7" t="s">
        <v>35</v>
      </c>
      <c r="F7" s="13">
        <f>B12</f>
        <v>0.021604031452483723</v>
      </c>
    </row>
    <row r="8" spans="1:6" x14ac:dyDescent="0.25">
      <c r="A8" s="10">
        <v>3</v>
      </c>
      <c r="B8" s="11">
        <f>_xlfn.POISSON.DIST(A8,$F$4,FALSE)</f>
        <v>0.22404180765538767</v>
      </c>
      <c r="C8" s="11">
        <f>_xlfn.POISSON.DIST(A8,$F$4,TRUE)</f>
        <v>0.6472318887822309</v>
      </c>
      <c r="E8" t="s">
        <v>36</v>
      </c>
      <c r="F8" s="13">
        <f>1-C11</f>
        <v>0.03350853530884179</v>
      </c>
    </row>
    <row r="9" spans="1:6" x14ac:dyDescent="0.25">
      <c r="A9" s="10">
        <v>4</v>
      </c>
      <c r="B9" s="11">
        <f>_xlfn.POISSON.DIST(A9,$F$4,FALSE)</f>
        <v>0.168031355741541</v>
      </c>
      <c r="C9" s="11">
        <f>_xlfn.POISSON.DIST(A9,$F$4,TRUE)</f>
        <v>0.815263244523772</v>
      </c>
      <c r="E9" t="s">
        <v>37</v>
      </c>
      <c r="F9" s="16">
        <f>B5</f>
        <v>0.049787068367863986</v>
      </c>
    </row>
    <row r="10" spans="1:3" x14ac:dyDescent="0.25">
      <c r="A10" s="10">
        <v>5</v>
      </c>
      <c r="B10" s="11">
        <f>_xlfn.POISSON.DIST(A10,$F$4,FALSE)</f>
        <v>0.10081881344492412</v>
      </c>
      <c r="C10" s="11">
        <f>_xlfn.POISSON.DIST(A10,$F$4,TRUE)</f>
        <v>0.9160820579686961</v>
      </c>
    </row>
    <row r="11" ht="16" customHeight="1" spans="1:6" x14ac:dyDescent="0.25">
      <c r="A11" s="10">
        <v>6</v>
      </c>
      <c r="B11" s="11">
        <f>_xlfn.POISSON.DIST(A11,$F$4,FALSE)</f>
        <v>0.0504094067224621</v>
      </c>
      <c r="C11" s="11">
        <f>_xlfn.POISSON.DIST(A11,$F$4,TRUE)</f>
        <v>0.9664914646911582</v>
      </c>
      <c r="E11" s="15" t="s">
        <v>38</v>
      </c>
      <c r="F11" s="15"/>
    </row>
    <row r="12" spans="1:6" x14ac:dyDescent="0.25">
      <c r="A12" s="10">
        <v>7</v>
      </c>
      <c r="B12" s="11">
        <f>_xlfn.POISSON.DIST(A12,$F$4,FALSE)</f>
        <v>0.021604031452483723</v>
      </c>
      <c r="C12" s="11">
        <f>_xlfn.POISSON.DIST(A12,$F$4,TRUE)</f>
        <v>0.9880954961436419</v>
      </c>
      <c r="E12" s="15"/>
      <c r="F12" s="15"/>
    </row>
    <row r="13" spans="1:6" x14ac:dyDescent="0.25">
      <c r="A13" s="10">
        <v>8</v>
      </c>
      <c r="B13" s="11">
        <f>_xlfn.POISSON.DIST(A13,$F$4,FALSE)</f>
        <v>0.008101511794681404</v>
      </c>
      <c r="C13" s="11">
        <f>_xlfn.POISSON.DIST(A13,$F$4,TRUE)</f>
        <v>0.9961970079383233</v>
      </c>
      <c r="E13" s="15"/>
      <c r="F13" s="15"/>
    </row>
    <row r="14" spans="1:6" x14ac:dyDescent="0.25">
      <c r="A14" s="10">
        <v>9</v>
      </c>
      <c r="B14" s="11">
        <f>_xlfn.POISSON.DIST(A14,$F$4,FALSE)</f>
        <v>0.0027005039315604598</v>
      </c>
      <c r="C14" s="11">
        <f>_xlfn.POISSON.DIST(A14,$F$4,TRUE)</f>
        <v>0.9988975118698837</v>
      </c>
      <c r="E14" s="15"/>
      <c r="F14" s="15"/>
    </row>
    <row r="15" spans="1:6" x14ac:dyDescent="0.25">
      <c r="A15" s="10">
        <v>10</v>
      </c>
      <c r="B15" s="11">
        <f>_xlfn.POISSON.DIST(A15,$F$4,FALSE)</f>
        <v>0.0008101511794681395</v>
      </c>
      <c r="C15" s="11">
        <f>_xlfn.POISSON.DIST(A15,$F$4,TRUE)</f>
        <v>0.9997076630493519</v>
      </c>
      <c r="E15" s="15"/>
      <c r="F15" s="15"/>
    </row>
    <row r="16" spans="1:3" x14ac:dyDescent="0.25">
      <c r="A16" s="10">
        <v>11</v>
      </c>
      <c r="B16" s="11">
        <f>_xlfn.POISSON.DIST(A16,$F$4,FALSE)</f>
        <v>0.00022095032167312957</v>
      </c>
      <c r="C16" s="11">
        <f>_xlfn.POISSON.DIST(A16,$F$4,TRUE)</f>
        <v>0.999928613371025</v>
      </c>
    </row>
    <row r="17" spans="1:3" x14ac:dyDescent="0.25">
      <c r="A17" s="10">
        <v>12</v>
      </c>
      <c r="B17" s="11">
        <f>_xlfn.POISSON.DIST(A17,$F$4,FALSE)</f>
        <v>0.00005523758041828248</v>
      </c>
      <c r="C17" s="11">
        <f>_xlfn.POISSON.DIST(A17,$F$4,TRUE)</f>
        <v>0.9999838509514433</v>
      </c>
    </row>
    <row r="18" spans="1:3" x14ac:dyDescent="0.25">
      <c r="A18" s="10">
        <v>13</v>
      </c>
      <c r="B18" s="11">
        <f>_xlfn.POISSON.DIST(A18,$F$4,FALSE)</f>
        <v>0.000012747133942680527</v>
      </c>
      <c r="C18" s="11">
        <f>_xlfn.POISSON.DIST(A18,$F$4,TRUE)</f>
        <v>0.999996598085386</v>
      </c>
    </row>
    <row r="19" spans="1:3" x14ac:dyDescent="0.25">
      <c r="A19" s="10">
        <v>14</v>
      </c>
      <c r="B19" s="11">
        <f>_xlfn.POISSON.DIST(A19,$F$4,FALSE)</f>
        <v>0.0000027315287020029724</v>
      </c>
      <c r="C19" s="11">
        <f>_xlfn.POISSON.DIST(A19,$F$4,TRUE)</f>
        <v>0.999999329614088</v>
      </c>
    </row>
    <row r="20" spans="1:3" x14ac:dyDescent="0.25">
      <c r="A20" s="10">
        <v>15</v>
      </c>
      <c r="B20" s="11">
        <f>_xlfn.POISSON.DIST(A20,$F$4,FALSE)</f>
        <v>5.463057404005949e-7</v>
      </c>
      <c r="C20" s="11">
        <f>_xlfn.POISSON.DIST(A20,$F$4,TRUE)</f>
        <v>0.9999998759198284</v>
      </c>
    </row>
  </sheetData>
  <mergeCells count="1">
    <mergeCell ref="E11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Binomial</vt:lpstr>
      <vt:lpstr>Poisson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Binomial y Poisson</dc:title>
  <dc:subject/>
  <dc:description/>
  <cp:keywords/>
  <cp:category/>
  <cp:lastModifiedBy>Unknown</cp:lastModifiedBy>
  <dcterms:created xsi:type="dcterms:W3CDTF">2026-09-19T13:43:35Z</dcterms:created>
  <dcterms:modified xsi:type="dcterms:W3CDTF">2026-09-19T13:43:35Z</dcterms:modified>
</cp:coreProperties>
</file>