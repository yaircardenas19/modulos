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Doce días" state="visible" r:id="rId5"/>
  </sheets>
  <calcPr calcId="171027" fullCalcOnLoad="1"/>
</workbook>
</file>

<file path=xl/sharedStrings.xml><?xml version="1.0" encoding="utf-8"?>
<sst xmlns="http://schemas.openxmlformats.org/spreadsheetml/2006/main" count="48" uniqueCount="47">
  <si>
    <t>Capítulo 16 · La recta que mejor ajusta</t>
  </si>
  <si>
    <t>Hoja del QR de recursos · Módulo de Bioestadística · Semestre 2026-2</t>
  </si>
  <si>
    <t>Qué trae este libro</t>
  </si>
  <si>
    <t>Doce días</t>
  </si>
  <si>
    <t>La recta, la predicción a 30 °C, los residuos y la tabla ANOVA.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</si>
  <si>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</si>
  <si>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</si>
  <si>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</si>
  <si>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</si>
  <si>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</si>
  <si>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</si>
  <si>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=PENDIENTE(y;x)</t>
  </si>
  <si>
    <t>la pendiente b</t>
  </si>
  <si>
    <t>=INTERSECCION.EJE(y;x)</t>
  </si>
  <si>
    <t>el intercepto a</t>
  </si>
  <si>
    <t>=COEFICIENTE.R2(y;x)</t>
  </si>
  <si>
    <t>r²</t>
  </si>
  <si>
    <t>=ERROR.TIPICO.XY(y;x)</t>
  </si>
  <si>
    <t>el error típico de estimación sₑ</t>
  </si>
  <si>
    <t>=DISTR.F.CD(F;1;n-2)</t>
  </si>
  <si>
    <t>el valor p de la regresión</t>
  </si>
  <si>
    <t>Si tu Excel está en inglés, las funciones aparecen con su nombre en inglés. Es la misma fórmula.</t>
  </si>
  <si>
    <t>La recta que mejor ajusta</t>
  </si>
  <si>
    <t>ŷ = a + b·x: alimento consumido (kg) según la temperatura de las 6 a. m. (°C).</t>
  </si>
  <si>
    <t>Día</t>
  </si>
  <si>
    <t>x: temp. (°C)</t>
  </si>
  <si>
    <t>y: alimento (kg)</t>
  </si>
  <si>
    <t>ŷ: predicho</t>
  </si>
  <si>
    <t>Residuo y − ŷ</t>
  </si>
  <si>
    <t>Residuo²</t>
  </si>
  <si>
    <t>Pendiente b (kg por grado)</t>
  </si>
  <si>
    <t>Intercepto a (kg)</t>
  </si>
  <si>
    <t>Error típico sₑ (kg)</t>
  </si>
  <si>
    <t>Temperatura de mañana (°C)</t>
  </si>
  <si>
    <t>Alimento que hay que pesar (kg)</t>
  </si>
  <si>
    <t>¿Está dentro del rango medido?</t>
  </si>
  <si>
    <t>Tabla ANOVA</t>
  </si>
  <si>
    <t>SC</t>
  </si>
  <si>
    <t>gl</t>
  </si>
  <si>
    <t>CM</t>
  </si>
  <si>
    <t>F</t>
  </si>
  <si>
    <t>Regresión</t>
  </si>
  <si>
    <t>Error</t>
  </si>
  <si>
    <t>Total</t>
  </si>
  <si>
    <t>F crítico del 5 %</t>
  </si>
  <si>
    <t>Valor p</t>
  </si>
  <si>
    <t>Por qué algunas cifras no son idénticas a las del libro: el libro redondea b a 5,99 antes de calcular lo demás, para que las cuentas se puedan seguir a mano; Excel usa todos los decimales. Por eso aquí a = −116,87 y en el libro −116,8; SC error 33,8 contra 34,1; F 249 contra 247. Las conclusiones son las mismas. Y el intercepto no se interpreta: 0 °C está lejísimos del rango medido.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</si>
</sst>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0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/>
    <xf numFmtId="164" fontId="0" fillId="0" borderId="1" xfId="0" applyNumberFormat="1" applyBorder="1"/>
    <xf numFmtId="2" fontId="0" fillId="0" borderId="1" xfId="0" applyNumberFormat="1" applyBorder="1"/>
    <xf numFmtId="165" fontId="3" fillId="3" borderId="1" xfId="0" applyNumberFormat="1" applyFont="1" applyFill="1" applyBorder="1"/>
    <xf numFmtId="2" fontId="3" fillId="3" borderId="1" xfId="0" applyNumberFormat="1" applyFont="1" applyFill="1" applyBorder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7" spans="1:1" x14ac:dyDescent="0.25">
      <c r="A7" s="3" t="s">
        <v>5</v>
      </c>
    </row>
    <row r="8" spans="1:2" x14ac:dyDescent="0.25">
      <c r="A8" s="5" t="s">
        <v>6</v>
      </c>
      <c r="B8" t="s">
        <v>7</v>
      </c>
    </row>
    <row r="9" spans="1:2" x14ac:dyDescent="0.25">
      <c r="A9" s="6" t="s">
        <v>8</v>
      </c>
      <c r="B9" t="s">
        <v>9</v>
      </c>
    </row>
    <row r="11" spans="1:1" x14ac:dyDescent="0.25">
      <c r="A11" s="3" t="s">
        <v>10</v>
      </c>
    </row>
    <row r="12" spans="1:2" x14ac:dyDescent="0.25">
      <c r="A12" s="7" t="s">
        <v>11</v>
      </c>
      <c r="B12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6" spans="1:2" x14ac:dyDescent="0.25">
      <c r="A16" s="7" t="s">
        <v>19</v>
      </c>
      <c r="B16" t="s">
        <v>20</v>
      </c>
    </row>
    <row r="18" spans="1:1" x14ac:dyDescent="0.25">
      <c r="A18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6" outlineLevelRow="0" outlineLevelCol="0" x14ac:dyDescent="55" customHeight="1"/>
  <cols>
    <col min="1" max="1" width="7" customWidth="1"/>
    <col min="2" max="2" width="11" customWidth="1"/>
    <col min="3" max="4" width="12" customWidth="1"/>
    <col min="5" max="6" width="11" customWidth="1"/>
    <col min="7" max="7" width="3" customWidth="1"/>
    <col min="8" max="8" width="38" customWidth="1"/>
    <col min="9" max="12" width="12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4" spans="1:6" x14ac:dyDescent="0.25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</row>
    <row r="5" spans="1:9" x14ac:dyDescent="0.25">
      <c r="A5" s="9">
        <v>1</v>
      </c>
      <c r="B5" s="10">
        <v>26.5</v>
      </c>
      <c r="C5" s="11">
        <v>41</v>
      </c>
      <c r="D5" s="12">
        <f>$I$6+$I$5*B5</f>
        <v>41.94958042952638</v>
      </c>
      <c r="E5" s="12">
        <f>C5-D5</f>
        <v>-0.9495804295263781</v>
      </c>
      <c r="F5" s="13">
        <f>E5^2</f>
        <v>0.9017029921395008</v>
      </c>
      <c r="H5" t="s">
        <v>30</v>
      </c>
      <c r="I5" s="14">
        <f>SLOPE(C5:C16,B5:B16)</f>
        <v>5.993457545157162</v>
      </c>
    </row>
    <row r="6" spans="1:9" x14ac:dyDescent="0.25">
      <c r="A6" s="9">
        <v>2</v>
      </c>
      <c r="B6" s="10">
        <v>27.2</v>
      </c>
      <c r="C6" s="11">
        <v>45</v>
      </c>
      <c r="D6" s="12">
        <f>$I$6+$I$5*B6</f>
        <v>46.14500071113639</v>
      </c>
      <c r="E6" s="12">
        <f>C6-D6</f>
        <v>-1.1450007111363902</v>
      </c>
      <c r="F6" s="13">
        <f>E6^2</f>
        <v>1.3110266285028394</v>
      </c>
      <c r="H6" t="s">
        <v>31</v>
      </c>
      <c r="I6" s="15">
        <f>INTERCEPT(C5:C16,B5:B16)</f>
        <v>-116.87704451713842</v>
      </c>
    </row>
    <row r="7" spans="1:9" x14ac:dyDescent="0.25">
      <c r="A7" s="9">
        <v>3</v>
      </c>
      <c r="B7" s="10">
        <v>28.1</v>
      </c>
      <c r="C7" s="11">
        <v>52</v>
      </c>
      <c r="D7" s="12">
        <f>$I$6+$I$5*B7</f>
        <v>51.53911250177785</v>
      </c>
      <c r="E7" s="12">
        <f>C7-D7</f>
        <v>0.46088749822214936</v>
      </c>
      <c r="F7" s="13">
        <f>E7^2</f>
        <v>0.21241728601747173</v>
      </c>
      <c r="H7" t="s">
        <v>16</v>
      </c>
      <c r="I7" s="14">
        <f>RSQ(C5:C16,B5:B16)</f>
        <v>0.961417209565751</v>
      </c>
    </row>
    <row r="8" spans="1:9" x14ac:dyDescent="0.25">
      <c r="A8" s="9">
        <v>4</v>
      </c>
      <c r="B8" s="10">
        <v>28.8</v>
      </c>
      <c r="C8" s="11">
        <v>56</v>
      </c>
      <c r="D8" s="12">
        <f>$I$6+$I$5*B8</f>
        <v>55.73453278338786</v>
      </c>
      <c r="E8" s="12">
        <f>C8-D8</f>
        <v>0.26546721661213724</v>
      </c>
      <c r="F8" s="13">
        <f>E8^2</f>
        <v>0.07047284309579539</v>
      </c>
      <c r="H8" t="s">
        <v>32</v>
      </c>
      <c r="I8" s="15">
        <f>STEYX(C5:C16,B5:B16)</f>
        <v>1.8380876880676094</v>
      </c>
    </row>
    <row r="9" spans="1:9" x14ac:dyDescent="0.25">
      <c r="A9" s="9">
        <v>5</v>
      </c>
      <c r="B9" s="10">
        <v>29.4</v>
      </c>
      <c r="C9" s="11">
        <v>55</v>
      </c>
      <c r="D9" s="12">
        <f>$I$6+$I$5*B9</f>
        <v>59.33060731048215</v>
      </c>
      <c r="E9" s="12">
        <f>C9-D9</f>
        <v>-4.330607310482151</v>
      </c>
      <c r="F9" s="13">
        <f>E9^2</f>
        <v>18.754159677601447</v>
      </c>
      <c r="H9" t="s">
        <v>33</v>
      </c>
      <c r="I9" s="10">
        <v>30</v>
      </c>
    </row>
    <row r="10" spans="1:9" x14ac:dyDescent="0.25">
      <c r="A10" s="9">
        <v>6</v>
      </c>
      <c r="B10" s="10">
        <v>30.1</v>
      </c>
      <c r="C10" s="11">
        <v>64</v>
      </c>
      <c r="D10" s="12">
        <f>$I$6+$I$5*B10</f>
        <v>63.52602759209219</v>
      </c>
      <c r="E10" s="12">
        <f>C10-D10</f>
        <v>0.4739724079078087</v>
      </c>
      <c r="F10" s="13">
        <f>E10^2</f>
        <v>0.2246498434579262</v>
      </c>
      <c r="H10" t="s">
        <v>34</v>
      </c>
      <c r="I10" s="16">
        <f>I6+I5*I9</f>
        <v>62.92668183757647</v>
      </c>
    </row>
    <row r="11" spans="1:9" x14ac:dyDescent="0.25">
      <c r="A11" s="9">
        <v>7</v>
      </c>
      <c r="B11" s="10">
        <v>30.8</v>
      </c>
      <c r="C11" s="11">
        <v>68</v>
      </c>
      <c r="D11" s="12">
        <f>$I$6+$I$5*B11</f>
        <v>67.72144787370218</v>
      </c>
      <c r="E11" s="12">
        <f>C11-D11</f>
        <v>0.278552126297825</v>
      </c>
      <c r="F11" s="13">
        <f>E11^2</f>
        <v>0.07759128706503945</v>
      </c>
      <c r="H11" t="s">
        <v>35</v>
      </c>
      <c r="I11" s="9" t="str">
        <f>IF(AND(I9&gt;=MIN(B5:B16),I9&lt;=MAX(B5:B16)),"sí","NO: fuera del rango, no se predice")</f>
        <v>sí</v>
      </c>
    </row>
    <row r="12" spans="1:6" x14ac:dyDescent="0.25">
      <c r="A12" s="9">
        <v>8</v>
      </c>
      <c r="B12" s="10">
        <v>31.2</v>
      </c>
      <c r="C12" s="11">
        <v>70</v>
      </c>
      <c r="D12" s="12">
        <f>$I$6+$I$5*B12</f>
        <v>70.11883089176504</v>
      </c>
      <c r="E12" s="12">
        <f>C12-D12</f>
        <v>-0.11883089176504313</v>
      </c>
      <c r="F12" s="13">
        <f>E12^2</f>
        <v>0.014120780837675396</v>
      </c>
    </row>
    <row r="13" spans="1:12" x14ac:dyDescent="0.25">
      <c r="A13" s="9">
        <v>9</v>
      </c>
      <c r="B13" s="10">
        <v>29</v>
      </c>
      <c r="C13" s="11">
        <v>58</v>
      </c>
      <c r="D13" s="12">
        <f>$I$6+$I$5*B13</f>
        <v>56.93322429241928</v>
      </c>
      <c r="E13" s="12">
        <f>C13-D13</f>
        <v>1.0667757075807174</v>
      </c>
      <c r="F13" s="13">
        <f>E13^2</f>
        <v>1.1380104102843402</v>
      </c>
      <c r="H13" s="8" t="s">
        <v>36</v>
      </c>
      <c r="I13" s="8" t="s">
        <v>37</v>
      </c>
      <c r="J13" s="8" t="s">
        <v>38</v>
      </c>
      <c r="K13" s="8" t="s">
        <v>39</v>
      </c>
      <c r="L13" s="8" t="s">
        <v>40</v>
      </c>
    </row>
    <row r="14" spans="1:12" x14ac:dyDescent="0.25">
      <c r="A14" s="9">
        <v>10</v>
      </c>
      <c r="B14" s="10">
        <v>27.8</v>
      </c>
      <c r="C14" s="11">
        <v>53</v>
      </c>
      <c r="D14" s="12">
        <f>$I$6+$I$5*B14</f>
        <v>49.74107523823071</v>
      </c>
      <c r="E14" s="12">
        <f>C14-D14</f>
        <v>3.2589247617692934</v>
      </c>
      <c r="F14" s="13">
        <f>E14^2</f>
        <v>10.620590602873046</v>
      </c>
      <c r="H14" t="s">
        <v>41</v>
      </c>
      <c r="I14" s="12">
        <f>I16-I15</f>
        <v>841.8810031764094</v>
      </c>
      <c r="J14" s="9">
        <v>1</v>
      </c>
      <c r="K14" s="12">
        <f>I14/J14</f>
        <v>841.8810031764094</v>
      </c>
      <c r="L14" s="16">
        <f>K14/K15</f>
        <v>249.1829125744951</v>
      </c>
    </row>
    <row r="15" spans="1:11" x14ac:dyDescent="0.25">
      <c r="A15" s="9">
        <v>11</v>
      </c>
      <c r="B15" s="10">
        <v>28.5</v>
      </c>
      <c r="C15" s="11">
        <v>54</v>
      </c>
      <c r="D15" s="12">
        <f>$I$6+$I$5*B15</f>
        <v>53.93649551984072</v>
      </c>
      <c r="E15" s="12">
        <f>C15-D15</f>
        <v>0.06350448015928123</v>
      </c>
      <c r="F15" s="13">
        <f>E15^2</f>
        <v>0.004032819000300543</v>
      </c>
      <c r="H15" t="s">
        <v>42</v>
      </c>
      <c r="I15" s="12">
        <f>SUM(F5:F16)</f>
        <v>33.78566349025729</v>
      </c>
      <c r="J15" s="9">
        <f>COUNT(C5:C16)-2</f>
        <v>10</v>
      </c>
      <c r="K15" s="13">
        <f>I15/J15</f>
        <v>3.3785663490257294</v>
      </c>
    </row>
    <row r="16" spans="1:10" x14ac:dyDescent="0.25">
      <c r="A16" s="9">
        <v>12</v>
      </c>
      <c r="B16" s="10">
        <v>30.4</v>
      </c>
      <c r="C16" s="11">
        <v>66</v>
      </c>
      <c r="D16" s="12">
        <f>$I$6+$I$5*B16</f>
        <v>65.3240648556393</v>
      </c>
      <c r="E16" s="12">
        <f>C16-D16</f>
        <v>0.6759351443606931</v>
      </c>
      <c r="F16" s="13">
        <f>E16^2</f>
        <v>0.45688831938191105</v>
      </c>
      <c r="H16" t="s">
        <v>43</v>
      </c>
      <c r="I16" s="12">
        <f>DEVSQ(C5:C16)</f>
        <v>875.6666666666667</v>
      </c>
      <c r="J16" s="9">
        <f>COUNT(C5:C16)-1</f>
        <v>11</v>
      </c>
    </row>
    <row r="17" spans="8:9" x14ac:dyDescent="0.25">
      <c r="H17" t="s">
        <v>44</v>
      </c>
      <c r="I17" s="13">
        <f>_xlfn.F.INV.RT(0.05,J14,J15)</f>
        <v>4.96460274373071</v>
      </c>
    </row>
    <row r="18" spans="8:9" x14ac:dyDescent="0.25">
      <c r="H18" t="s">
        <v>45</v>
      </c>
      <c r="I18" s="17">
        <f>_xlfn.F.DIST.RT(L14,J14,J15)</f>
        <v>2.1388008899842184e-8</v>
      </c>
    </row>
    <row r="20" ht="16" customHeight="1" spans="8:12" x14ac:dyDescent="0.25">
      <c r="H20" s="18" t="s">
        <v>46</v>
      </c>
      <c r="I20" s="18"/>
      <c r="J20" s="18"/>
      <c r="K20" s="18"/>
      <c r="L20" s="18"/>
    </row>
    <row r="21" spans="8:12" x14ac:dyDescent="0.25">
      <c r="H21" s="18"/>
      <c r="I21" s="18"/>
      <c r="J21" s="18"/>
      <c r="K21" s="18"/>
      <c r="L21" s="18"/>
    </row>
    <row r="22" spans="8:12" x14ac:dyDescent="0.25">
      <c r="H22" s="18"/>
      <c r="I22" s="18"/>
      <c r="J22" s="18"/>
      <c r="K22" s="18"/>
      <c r="L22" s="18"/>
    </row>
    <row r="23" spans="8:12" x14ac:dyDescent="0.25">
      <c r="H23" s="18"/>
      <c r="I23" s="18"/>
      <c r="J23" s="18"/>
      <c r="K23" s="18"/>
      <c r="L23" s="18"/>
    </row>
    <row r="24" spans="8:12" x14ac:dyDescent="0.25">
      <c r="H24" s="18"/>
      <c r="I24" s="18"/>
      <c r="J24" s="18"/>
      <c r="K24" s="18"/>
      <c r="L24" s="18"/>
    </row>
    <row r="25" spans="8:12" x14ac:dyDescent="0.25">
      <c r="H25" s="18"/>
      <c r="I25" s="18"/>
      <c r="J25" s="18"/>
      <c r="K25" s="18"/>
      <c r="L25" s="18"/>
    </row>
  </sheetData>
  <mergeCells count="1">
    <mergeCell ref="H20:L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Léeme</vt:lpstr>
      <vt:lpstr>Doce días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Regresión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