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Una proporción" state="visible" r:id="rId5"/>
    <sheet sheetId="3" name="Dos proporciones" state="visible" r:id="rId6"/>
  </sheets>
  <calcPr calcId="171027" fullCalcOnLoad="1"/>
</workbook>
</file>

<file path=xl/sharedStrings.xml><?xml version="1.0" encoding="utf-8"?>
<sst xmlns="http://schemas.openxmlformats.org/spreadsheetml/2006/main" count="52" uniqueCount="51">
  <si>
    <t>Capítulo 12 · Cuando lo que se cuenta son proporciones</t>
  </si>
  <si>
    <t>Hoja del QR de recursos · Módulo de Bioestadística · Semestre 2026-2</t>
  </si>
  <si>
    <t>Qué trae este libro</t>
  </si>
  <si>
    <t>Una proporción</t>
  </si>
  <si>
    <t>¿El proveedor B cumple el 85 % de sobrevivencia que garantiza?</t>
  </si>
  <si>
    <t>Dos proporciones</t>
  </si>
  <si>
    <t>¿La diferencia entre los proveedores A y B es real, y justifica pagar más?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</si>
  <si>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</si>
  <si>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</si>
  <si>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</si>
  <si>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</si>
  <si>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</si>
  <si>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</si>
  <si>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=DISTR.NORM.ESTAND.N(z;VERDADERO)</t>
  </si>
  <si>
    <t>el área a la izquierda de z</t>
  </si>
  <si>
    <t>=RAIZ(p*(1-p)/n)</t>
  </si>
  <si>
    <t>el error estándar de una proporción</t>
  </si>
  <si>
    <t>Si tu Excel está en inglés, las funciones aparecen con su nombre en inglés. Es la misma fórmula.</t>
  </si>
  <si>
    <t>¿El proveedor B cumple el 85 %?</t>
  </si>
  <si>
    <t>Siembra de 900 alevinos; a los 30 días sobrevivieron 738.</t>
  </si>
  <si>
    <t>Vivos (x)</t>
  </si>
  <si>
    <t>Sembrados (n)</t>
  </si>
  <si>
    <t>Proporción garantizada p₀</t>
  </si>
  <si>
    <t>α</t>
  </si>
  <si>
    <t>p̂ = x / n</t>
  </si>
  <si>
    <t>Comprobación: n·p₀ ≥ 10</t>
  </si>
  <si>
    <t>Comprobación: n·(1 − p₀) ≥ 10</t>
  </si>
  <si>
    <t>Error estándar</t>
  </si>
  <si>
    <t>z</t>
  </si>
  <si>
    <t>Valor p (una cola: ¿está por debajo?)</t>
  </si>
  <si>
    <t>Decisión</t>
  </si>
  <si>
    <t>Proveedor A contra proveedor B</t>
  </si>
  <si>
    <t>Sembrados en paralelo, condiciones iguales, sobrevivencia a los 30 días.</t>
  </si>
  <si>
    <t/>
  </si>
  <si>
    <t>A</t>
  </si>
  <si>
    <t>B</t>
  </si>
  <si>
    <t>La diferencia es de 4 PUNTOS porcentuales, no de 4 %. Y es real (p = 0,023). Pero lo que decide es la plata: los 36 peces de más valen mucho más que lo que se ahorra comprando barato.</t>
  </si>
  <si>
    <t>Vivos</t>
  </si>
  <si>
    <t>Sembrados</t>
  </si>
  <si>
    <t>p̂</t>
  </si>
  <si>
    <t>Diferencia (en puntos)</t>
  </si>
  <si>
    <t>p̄ combinada = (xA + xB)/(nA + nB)</t>
  </si>
  <si>
    <t>Comprobación: los cuatro n·p̄ y n·(1 − p̄) ≥ 10</t>
  </si>
  <si>
    <t>Error estándar de la diferencia</t>
  </si>
  <si>
    <t>Valor p (dos colas)</t>
  </si>
  <si>
    <t>Y en plata</t>
  </si>
  <si>
    <t>Precio de un pez vendido ($)</t>
  </si>
  <si>
    <t>Ahorro por alevín con el proveedor B ($)</t>
  </si>
  <si>
    <t>Peces de más con A, en una siembra de 900</t>
  </si>
  <si>
    <t>Lo que valen esos peces ($)</t>
  </si>
  <si>
    <t>Lo que se ahorra comprando a B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</si>
</sst>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2" fontId="0" fillId="2" borderId="1" xfId="0" applyNumberForma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2" fontId="3" fillId="3" borderId="1" xfId="0" applyNumberFormat="1" applyFont="1" applyFill="1" applyBorder="1"/>
    <xf numFmtId="165" fontId="3" fillId="3" borderId="1" xfId="0" applyNumberFormat="1" applyFont="1" applyFill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5" fillId="5" borderId="0" xfId="0" applyFont="1" applyFill="1" applyAlignment="1">
      <alignment vertical="top" wrapText="1"/>
    </xf>
    <xf numFmtId="164" fontId="3" fillId="3" borderId="1" xfId="0" applyNumberFormat="1" applyFont="1" applyFill="1" applyBorder="1"/>
    <xf numFmtId="3" fontId="0" fillId="2" borderId="1" xfId="0" applyNumberFormat="1" applyFill="1" applyBorder="1"/>
    <xf numFmtId="1" fontId="3" fillId="3" borderId="1" xfId="0" applyNumberFormat="1" applyFont="1" applyFill="1" applyBorder="1"/>
    <xf numFmtId="3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6" outlineLevelRow="0" outlineLevelCol="0" x14ac:dyDescent="55" customHeight="1"/>
  <cols>
    <col min="1" max="1" width="48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spans="1:2" x14ac:dyDescent="0.25">
      <c r="A4" t="s">
        <v>20</v>
      </c>
      <c r="B4" s="8">
        <v>738</v>
      </c>
    </row>
    <row r="5" spans="1:2" x14ac:dyDescent="0.25">
      <c r="A5" t="s">
        <v>21</v>
      </c>
      <c r="B5" s="8">
        <v>900</v>
      </c>
    </row>
    <row r="6" spans="1:2" x14ac:dyDescent="0.25">
      <c r="A6" t="s">
        <v>22</v>
      </c>
      <c r="B6" s="9">
        <v>0.85</v>
      </c>
    </row>
    <row r="7" spans="1:2" x14ac:dyDescent="0.25">
      <c r="A7" t="s">
        <v>23</v>
      </c>
      <c r="B7" s="9">
        <v>0.05</v>
      </c>
    </row>
    <row r="9" spans="1:2" x14ac:dyDescent="0.25">
      <c r="A9" t="s">
        <v>24</v>
      </c>
      <c r="B9" s="10">
        <f>B4/B5</f>
        <v>0.82</v>
      </c>
    </row>
    <row r="10" spans="1:2" x14ac:dyDescent="0.25">
      <c r="A10" t="s">
        <v>25</v>
      </c>
      <c r="B10" s="11" t="str">
        <f>IF(B5*B6&gt;=10,"✓ "&amp;TEXT(B5*B6,"0"),"✗ no alcanza")</f>
        <v>✓ 765</v>
      </c>
    </row>
    <row r="11" spans="1:2" x14ac:dyDescent="0.25">
      <c r="A11" t="s">
        <v>26</v>
      </c>
      <c r="B11" s="11" t="str">
        <f>IF(B5*(1-B6)&gt;=10,"✓ "&amp;TEXT(B5*(1-B6),"0"),"✗ no alcanza")</f>
        <v>✓ 135</v>
      </c>
    </row>
    <row r="12" spans="1:2" x14ac:dyDescent="0.25">
      <c r="A12" t="s">
        <v>27</v>
      </c>
      <c r="B12" s="12">
        <f>SQRT(B6*(1-B6)/B5)</f>
        <v>0.011902380714238084</v>
      </c>
    </row>
    <row r="13" spans="1:2" x14ac:dyDescent="0.25">
      <c r="A13" t="s">
        <v>28</v>
      </c>
      <c r="B13" s="13">
        <f>(B9-B6)/B12</f>
        <v>-2.5205041512504196</v>
      </c>
    </row>
    <row r="14" spans="1:2" x14ac:dyDescent="0.25">
      <c r="A14" t="s">
        <v>29</v>
      </c>
      <c r="B14" s="14">
        <f>_xlfn.NORM.S.DIST(B13,TRUE)</f>
        <v>0.005859342487786501</v>
      </c>
    </row>
    <row r="15" spans="1:2" x14ac:dyDescent="0.25">
      <c r="A15" t="s">
        <v>30</v>
      </c>
      <c r="B15" s="15" t="str">
        <f>IF(B14&lt;B7,"se rechaza H₀: no cumple","no se rechaza H₀")</f>
        <v>se rechaza H₀: no cumple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6" outlineLevelRow="0" outlineLevelCol="0" x14ac:dyDescent="55" customHeight="1"/>
  <cols>
    <col min="1" max="1" width="48" customWidth="1"/>
    <col min="2" max="3" width="14" customWidth="1"/>
    <col min="4" max="4" width="4" customWidth="1"/>
    <col min="5" max="5" width="40" customWidth="1"/>
  </cols>
  <sheetData>
    <row r="1" spans="1:1" x14ac:dyDescent="0.25">
      <c r="A1" s="1" t="s">
        <v>31</v>
      </c>
    </row>
    <row r="2" spans="1:1" x14ac:dyDescent="0.25">
      <c r="A2" s="2" t="s">
        <v>32</v>
      </c>
    </row>
    <row r="4" ht="16" customHeight="1" spans="1:5" x14ac:dyDescent="0.25">
      <c r="A4" s="16" t="s">
        <v>33</v>
      </c>
      <c r="B4" s="16" t="s">
        <v>34</v>
      </c>
      <c r="C4" s="16" t="s">
        <v>35</v>
      </c>
      <c r="E4" s="17" t="s">
        <v>36</v>
      </c>
    </row>
    <row r="5" spans="1:5" x14ac:dyDescent="0.25">
      <c r="A5" t="s">
        <v>37</v>
      </c>
      <c r="B5" s="8">
        <v>731</v>
      </c>
      <c r="C5" s="8">
        <v>738</v>
      </c>
      <c r="E5" s="17"/>
    </row>
    <row r="6" spans="1:5" x14ac:dyDescent="0.25">
      <c r="A6" t="s">
        <v>38</v>
      </c>
      <c r="B6" s="8">
        <v>850</v>
      </c>
      <c r="C6" s="8">
        <v>900</v>
      </c>
      <c r="E6" s="17"/>
    </row>
    <row r="7" spans="1:5" x14ac:dyDescent="0.25">
      <c r="A7" t="s">
        <v>39</v>
      </c>
      <c r="B7" s="10">
        <f>B5/B6</f>
        <v>0.86</v>
      </c>
      <c r="C7" s="10">
        <f>C5/C6</f>
        <v>0.82</v>
      </c>
      <c r="E7" s="17"/>
    </row>
    <row r="8" spans="5:5" x14ac:dyDescent="0.25">
      <c r="E8" s="17"/>
    </row>
    <row r="9" spans="1:5" x14ac:dyDescent="0.25">
      <c r="A9" t="s">
        <v>40</v>
      </c>
      <c r="B9" s="18">
        <f>B7-C7</f>
        <v>0.040000000000000036</v>
      </c>
      <c r="E9" s="17"/>
    </row>
    <row r="10" spans="1:5" x14ac:dyDescent="0.25">
      <c r="A10" t="s">
        <v>41</v>
      </c>
      <c r="B10" s="12">
        <f>(B5+C5)/(B6+C6)</f>
        <v>0.8394285714285714</v>
      </c>
      <c r="E10" s="17"/>
    </row>
    <row r="11" spans="1:5" x14ac:dyDescent="0.25">
      <c r="A11" t="s">
        <v>42</v>
      </c>
      <c r="B11" s="11" t="str">
        <f>IF(MIN(B6*B10,B6*(1-B10),C6*B10,C6*(1-B10))&gt;=10,"✓ se cumple","✗ no alcanza")</f>
        <v>✓ se cumple</v>
      </c>
      <c r="E11" s="17"/>
    </row>
    <row r="12" spans="1:5" x14ac:dyDescent="0.25">
      <c r="A12" t="s">
        <v>43</v>
      </c>
      <c r="B12" s="12">
        <f>SQRT(B10*(1-B10)*(1/B6+1/C6))</f>
        <v>0.017559587760411485</v>
      </c>
      <c r="E12" s="17"/>
    </row>
    <row r="13" spans="1:2" x14ac:dyDescent="0.25">
      <c r="A13" t="s">
        <v>28</v>
      </c>
      <c r="B13" s="13">
        <f>B9/B12</f>
        <v>2.2779578054890903</v>
      </c>
    </row>
    <row r="14" spans="1:2" x14ac:dyDescent="0.25">
      <c r="A14" t="s">
        <v>44</v>
      </c>
      <c r="B14" s="18">
        <f>2*(1-_xlfn.NORM.S.DIST(ABS(B13),TRUE))</f>
        <v>0.022729089729362162</v>
      </c>
    </row>
    <row r="16" spans="1:1" x14ac:dyDescent="0.25">
      <c r="A16" s="3" t="s">
        <v>45</v>
      </c>
    </row>
    <row r="17" spans="1:2" x14ac:dyDescent="0.25">
      <c r="A17" t="s">
        <v>46</v>
      </c>
      <c r="B17" s="19">
        <v>3800</v>
      </c>
    </row>
    <row r="18" spans="1:2" x14ac:dyDescent="0.25">
      <c r="A18" t="s">
        <v>47</v>
      </c>
      <c r="B18" s="19">
        <v>18</v>
      </c>
    </row>
    <row r="19" spans="1:2" x14ac:dyDescent="0.25">
      <c r="A19" t="s">
        <v>48</v>
      </c>
      <c r="B19" s="20">
        <f>ROUND(B9*C6,0)</f>
        <v>36</v>
      </c>
    </row>
    <row r="20" spans="1:2" x14ac:dyDescent="0.25">
      <c r="A20" t="s">
        <v>49</v>
      </c>
      <c r="B20" s="21">
        <f>B19*B17</f>
        <v>136800</v>
      </c>
    </row>
    <row r="21" spans="1:2" x14ac:dyDescent="0.25">
      <c r="A21" t="s">
        <v>50</v>
      </c>
      <c r="B21" s="21">
        <f>B18*C6</f>
        <v>16200</v>
      </c>
    </row>
  </sheetData>
  <mergeCells count="1">
    <mergeCell ref="E4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Una proporción</vt:lpstr>
      <vt:lpstr>Dos proporciones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Proporciones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