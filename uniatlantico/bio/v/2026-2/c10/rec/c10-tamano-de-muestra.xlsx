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Para una media" state="visible" r:id="rId5"/>
    <sheet sheetId="3" name="Para una proporción" state="visible" r:id="rId6"/>
  </sheets>
  <calcPr calcId="171027" fullCalcOnLoad="1"/>
</workbook>
</file>

<file path=xl/sharedStrings.xml><?xml version="1.0" encoding="utf-8"?>
<sst xmlns="http://schemas.openxmlformats.org/spreadsheetml/2006/main" count="39" uniqueCount="37">
  <si>
    <t>Capítulo 10 · ¿A cuántos peces hay que medirles?</t>
  </si>
  <si>
    <t>Hoja del QR de recursos · Módulo de Bioestadística · Semestre 2026-2</t>
  </si>
  <si>
    <t>Qué trae este libro</t>
  </si>
  <si>
    <t>Para una media</t>
  </si>
  <si>
    <t>Cuántos peces pesar para estimar el peso promedio con el margen que pidas.</t>
  </si>
  <si>
    <t>Para una proporción</t>
  </si>
  <si>
    <t>Cuántos alevinos revisar para estimar un porcentaje con el margen que pidas.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</si>
  <si>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</si>
  <si>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</si>
  <si>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</si>
  <si>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</si>
  <si>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</si>
  <si>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</si>
  <si>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=INV.NORM.ESTAND(1-(1-conf)/2)</t>
  </si>
  <si>
    <t>el z de la confianza: 1,96 para el 95 %</t>
  </si>
  <si>
    <t>=REDONDEAR.MAS(n;0)</t>
  </si>
  <si>
    <t>redondea siempre hacia arriba</t>
  </si>
  <si>
    <t>Si tu Excel está en inglés, las funciones aparecen con su nombre en inglés. Es la misma fórmula.</t>
  </si>
  <si>
    <t>¿A cuántos peces hay que medirles?</t>
  </si>
  <si>
    <t>n = (z · σ / E)², redondeado hacia arriba.</t>
  </si>
  <si>
    <t>σ: desviación estimada (biometría anterior o piloto)</t>
  </si>
  <si>
    <t>La corrección por población finita solo cambia algo cuando la muestra pasa del 5 % del estanque. Aquí es el 0,5 %: da 47 en vez de 48. Prueba con un estanque de 200 peces y mira la diferencia. Y recuerda: esta fórmula garantiza el ancho del intervalo, nunca que esté centrado. Eso se juega en dónde se lanza la atarraya.</t>
  </si>
  <si>
    <t>E: margen de error que se acepta (misma unidad)</t>
  </si>
  <si>
    <t>Confianza</t>
  </si>
  <si>
    <t>N: peces en el estanque</t>
  </si>
  <si>
    <t>z</t>
  </si>
  <si>
    <t>n sin redondear</t>
  </si>
  <si>
    <t>n: peces que hay que pesar</t>
  </si>
  <si>
    <t>Qué parte del estanque es la muestra</t>
  </si>
  <si>
    <t>n con corrección por población finita</t>
  </si>
  <si>
    <t>Tamaño de muestra para una proporción</t>
  </si>
  <si>
    <t>n = z² · p(1 − p) / E², redondeado hacia arriba.</t>
  </si>
  <si>
    <t>p: proporción estimada (si no hay idea, 0,5)</t>
  </si>
  <si>
    <t>p(1 − p) es máximo cuando p = 0,5. Si no hay ningún estimado previo de la proporción, usar 0,5 garantiza el margen pedido, a costa de una muestra más grande.</t>
  </si>
  <si>
    <t>E: margen de error (en proporción: 0,05 = 5 puntos)</t>
  </si>
  <si>
    <t>n</t>
  </si>
  <si>
    <t>n en el peor caso (p = 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</si>
</sst>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  <font>
      <i/>
      <color rgb="FF1F2A2E"/>
    </font>
  </fonts>
  <fills count="5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FBE3DA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2" borderId="1" xfId="0" applyFill="1" applyBorder="1"/>
    <xf numFmtId="0" fontId="5" fillId="4" borderId="0" xfId="0" applyFont="1" applyFill="1" applyAlignment="1">
      <alignment vertical="top" wrapText="1"/>
    </xf>
    <xf numFmtId="9" fontId="0" fillId="2" borderId="1" xfId="0" applyNumberFormat="1" applyFill="1" applyBorder="1"/>
    <xf numFmtId="3" fontId="0" fillId="2" borderId="1" xfId="0" applyNumberFormat="1" applyFill="1" applyBorder="1"/>
    <xf numFmtId="164" fontId="0" fillId="0" borderId="1" xfId="0" applyNumberFormat="1" applyBorder="1"/>
    <xf numFmtId="2" fontId="0" fillId="0" borderId="1" xfId="0" applyNumberFormat="1" applyBorder="1"/>
    <xf numFmtId="1" fontId="3" fillId="3" borderId="1" xfId="0" applyNumberFormat="1" applyFont="1" applyFill="1" applyBorder="1"/>
    <xf numFmtId="165" fontId="0" fillId="0" borderId="1" xfId="0" applyNumberFormat="1" applyBorder="1"/>
    <xf numFmtId="2" fontId="0" fillId="2" borderId="1" xfId="0" applyNumberFormat="1" applyFill="1" applyBorder="1"/>
    <xf numFmtId="0" fontId="6" fillId="0" borderId="0" xfId="0" applyFont="1" applyAlignment="1">
      <alignment vertical="top" wrapText="1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8" spans="1:1" x14ac:dyDescent="0.25">
      <c r="A8" s="3" t="s">
        <v>7</v>
      </c>
    </row>
    <row r="9" spans="1:2" x14ac:dyDescent="0.25">
      <c r="A9" s="5" t="s">
        <v>8</v>
      </c>
      <c r="B9" t="s">
        <v>9</v>
      </c>
    </row>
    <row r="10" spans="1:2" x14ac:dyDescent="0.25">
      <c r="A10" s="6" t="s">
        <v>10</v>
      </c>
      <c r="B10" t="s">
        <v>11</v>
      </c>
    </row>
    <row r="12" spans="1:1" x14ac:dyDescent="0.25">
      <c r="A12" s="3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6" spans="1:1" x14ac:dyDescent="0.25">
      <c r="A1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6" outlineLevelRow="0" outlineLevelCol="0" x14ac:dyDescent="55" customHeight="1"/>
  <cols>
    <col min="1" max="1" width="52" customWidth="1"/>
    <col min="2" max="2" width="14" customWidth="1"/>
    <col min="3" max="3" width="4" customWidth="1"/>
    <col min="4" max="4" width="40" customWidth="1"/>
  </cols>
  <sheetData>
    <row r="1" spans="1:1" x14ac:dyDescent="0.25">
      <c r="A1" s="1" t="s">
        <v>18</v>
      </c>
    </row>
    <row r="2" spans="1:1" x14ac:dyDescent="0.25">
      <c r="A2" s="2" t="s">
        <v>19</v>
      </c>
    </row>
    <row r="4" ht="16" customHeight="1" spans="1:4" x14ac:dyDescent="0.25">
      <c r="A4" t="s">
        <v>20</v>
      </c>
      <c r="B4" s="8">
        <v>35</v>
      </c>
      <c r="D4" s="9" t="s">
        <v>21</v>
      </c>
    </row>
    <row r="5" spans="1:4" x14ac:dyDescent="0.25">
      <c r="A5" t="s">
        <v>22</v>
      </c>
      <c r="B5" s="8">
        <v>10</v>
      </c>
      <c r="D5" s="9"/>
    </row>
    <row r="6" spans="1:4" x14ac:dyDescent="0.25">
      <c r="A6" t="s">
        <v>23</v>
      </c>
      <c r="B6" s="10">
        <v>0.95</v>
      </c>
      <c r="D6" s="9"/>
    </row>
    <row r="7" spans="1:4" x14ac:dyDescent="0.25">
      <c r="A7" t="s">
        <v>24</v>
      </c>
      <c r="B7" s="11">
        <v>9000</v>
      </c>
      <c r="D7" s="9"/>
    </row>
    <row r="8" spans="4:4" x14ac:dyDescent="0.25">
      <c r="D8" s="9"/>
    </row>
    <row r="9" spans="1:4" x14ac:dyDescent="0.25">
      <c r="A9" t="s">
        <v>25</v>
      </c>
      <c r="B9" s="12">
        <f>_xlfn.NORM.S.INV(1-(1-B6)/2)</f>
        <v>1.959963986120195</v>
      </c>
      <c r="D9" s="9"/>
    </row>
    <row r="10" spans="1:4" x14ac:dyDescent="0.25">
      <c r="A10" t="s">
        <v>26</v>
      </c>
      <c r="B10" s="13">
        <f>(B9*B4/B5)^2</f>
        <v>47.05787062938001</v>
      </c>
      <c r="D10" s="9"/>
    </row>
    <row r="11" spans="1:4" x14ac:dyDescent="0.25">
      <c r="A11" t="s">
        <v>27</v>
      </c>
      <c r="B11" s="14">
        <f>ROUNDUP(B10,0)</f>
        <v>48</v>
      </c>
      <c r="D11" s="9"/>
    </row>
    <row r="12" spans="1:2" x14ac:dyDescent="0.25">
      <c r="A12" t="s">
        <v>28</v>
      </c>
      <c r="B12" s="15">
        <f>B11/B7</f>
        <v>0.005333333333333333</v>
      </c>
    </row>
    <row r="13" spans="1:2" x14ac:dyDescent="0.25">
      <c r="A13" t="s">
        <v>29</v>
      </c>
      <c r="B13" s="14">
        <f>ROUNDUP(B10/(1+(B10-1)/B7),0)</f>
        <v>47</v>
      </c>
    </row>
  </sheetData>
  <mergeCells count="1">
    <mergeCell ref="D4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6" outlineLevelRow="0" outlineLevelCol="0" x14ac:dyDescent="55" customHeight="1"/>
  <cols>
    <col min="1" max="1" width="52" customWidth="1"/>
    <col min="2" max="2" width="14" customWidth="1"/>
    <col min="3" max="3" width="4" customWidth="1"/>
    <col min="4" max="4" width="40" customWidth="1"/>
  </cols>
  <sheetData>
    <row r="1" spans="1:1" x14ac:dyDescent="0.25">
      <c r="A1" s="1" t="s">
        <v>30</v>
      </c>
    </row>
    <row r="2" spans="1:1" x14ac:dyDescent="0.25">
      <c r="A2" s="2" t="s">
        <v>31</v>
      </c>
    </row>
    <row r="4" ht="16" customHeight="1" spans="1:4" x14ac:dyDescent="0.25">
      <c r="A4" t="s">
        <v>32</v>
      </c>
      <c r="B4" s="16">
        <v>0.85</v>
      </c>
      <c r="D4" s="17" t="s">
        <v>33</v>
      </c>
    </row>
    <row r="5" spans="1:4" x14ac:dyDescent="0.25">
      <c r="A5" t="s">
        <v>34</v>
      </c>
      <c r="B5" s="16">
        <v>0.05</v>
      </c>
      <c r="D5" s="17"/>
    </row>
    <row r="6" spans="1:4" x14ac:dyDescent="0.25">
      <c r="A6" t="s">
        <v>23</v>
      </c>
      <c r="B6" s="10">
        <v>0.95</v>
      </c>
      <c r="D6" s="17"/>
    </row>
    <row r="7" spans="4:4" x14ac:dyDescent="0.25">
      <c r="D7" s="17"/>
    </row>
    <row r="8" spans="1:4" x14ac:dyDescent="0.25">
      <c r="A8" t="s">
        <v>25</v>
      </c>
      <c r="B8" s="12">
        <f>_xlfn.NORM.S.INV(1-(1-B6)/2)</f>
        <v>1.959963986120195</v>
      </c>
      <c r="D8" s="17"/>
    </row>
    <row r="9" spans="1:2" x14ac:dyDescent="0.25">
      <c r="A9" t="s">
        <v>35</v>
      </c>
      <c r="B9" s="14">
        <f>ROUNDUP(B8^2*B4*(1-B4)/B5^2,0)</f>
        <v>196</v>
      </c>
    </row>
    <row r="10" spans="1:2" x14ac:dyDescent="0.25">
      <c r="A10" t="s">
        <v>36</v>
      </c>
      <c r="B10" s="18">
        <f>ROUNDUP(B8^2*0.25/B5^2,0)</f>
        <v>385</v>
      </c>
    </row>
  </sheetData>
  <mergeCells count="1">
    <mergeCell ref="D4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Para una media</vt:lpstr>
      <vt:lpstr>Para una proporción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Tamaño de muestra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