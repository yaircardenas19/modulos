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éeme" state="visible" r:id="rId4"/>
    <sheet sheetId="2" name="Calculadora" state="visible" r:id="rId5"/>
  </sheets>
  <calcPr calcId="171027" fullCalcOnLoad="1"/>
</workbook>
</file>

<file path=xl/sharedStrings.xml><?xml version="1.0" encoding="utf-8"?>
<sst xmlns="http://schemas.openxmlformats.org/spreadsheetml/2006/main" count="34" uniqueCount="34">
  <si>
    <t>Capítulo 5 · Contar sin contar uno por uno</t>
  </si>
  <si>
    <t>Hoja del QR de recursos · Módulo de Bioestadística · Semestre 2026-2</t>
  </si>
  <si>
    <t>Qué trae este libro</t>
  </si>
  <si>
    <t>Calculadora</t>
  </si>
  <si>
    <t>Escribe n y r: salen las combinaciones, las permutaciones y el factorial. Abajo, los casos del capítulo.</t>
  </si>
  <si>
    <t>Los colores</t>
  </si>
  <si>
    <t>Amarillo</t>
  </si>
  <si>
    <t>Datos que puedes cambiar. Cambia uno y mira qué pasa con lo demás.</t>
  </si>
  <si>
    <t>Verde</t>
  </si>
  <si>
    <t>Resultados que se calculan solos. No los escribas encima: tienen fórmula.</t>
  </si>
  <si>
    <t>Las fórmulas, como se escriben en tu Excel</t>
  </si>
  <si>
    <t>=COMBINAT(n;r)</t>
  </si>
  <si>
    <t>combinaciones: el orden no importa</t>
  </si>
  <si>
    <t>=PERMUTACIONES(n;r)</t>
  </si>
  <si>
    <t>permutaciones: el orden sí importa</t>
  </si>
  <si>
    <t>=FACT(n)</t>
  </si>
  <si>
    <t>el factorial n!</t>
  </si>
  <si>
    <t>Si tu Excel está en inglés, las funciones aparecen con su nombre en inglés. Es la misma fórmula.</t>
  </si>
  <si>
    <t>Contar sin contar uno por uno</t>
  </si>
  <si>
    <t>Dos preguntas antes de elegir: ¿importa el orden? ¿hay reposición?</t>
  </si>
  <si>
    <t>n (de cuántos se escoge)</t>
  </si>
  <si>
    <t>r (cuántos se escogen)</t>
  </si>
  <si>
    <t>Combinaciones C(n, r): sin orden</t>
  </si>
  <si>
    <t>Permutaciones P(n, r): con orden</t>
  </si>
  <si>
    <t>n!</t>
  </si>
  <si>
    <t>P ÷ C, que siempre da r!</t>
  </si>
  <si>
    <t>Los casos del capítulo</t>
  </si>
  <si>
    <t>Resultado</t>
  </si>
  <si>
    <t>Escoger 4 estanques de 6 para el ensayo (sin orden)</t>
  </si>
  <si>
    <t>Primer y segundo lugar entre 4 estanques (con orden)</t>
  </si>
  <si>
    <t>Muestras distintas de 5 alevinos tomadas de 50</t>
  </si>
  <si>
    <t>Muestras de 5 sin ningún infectado (44 sanos)</t>
  </si>
  <si>
    <t>P(ninguno infectado en la muestra)</t>
  </si>
  <si>
    <t>La última fila es el ejemplo del bloque 8: aunque el 12 % del lote viene infectado, el inspector tiene casi la mitad de probabilidad (0,51) de no ver ni uno en una muestra de 5. Por eso el tamaño de la muestra de control importa.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</si>
</sst>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6" x14ac:knownFonts="1">
    <font>
      <color theme="1"/>
      <family val="2"/>
      <scheme val="minor"/>
      <sz val="11"/>
      <name val="Calibri"/>
    </font>
    <font>
      <b/>
      <color rgb="FF1F2A2E"/>
      <sz val="14"/>
    </font>
    <font>
      <i/>
      <color rgb="FF5E6B70"/>
    </font>
    <font>
      <b/>
    </font>
    <font>
      <name val="Consolas"/>
    </font>
    <font>
      <i/>
      <color rgb="FF1F2A2E"/>
    </font>
  </fonts>
  <fills count="5">
    <fill>
      <patternFill patternType="none"/>
    </fill>
    <fill>
      <patternFill patternType="gray125"/>
    </fill>
    <fill>
      <patternFill patternType="solid">
        <fgColor rgb="FFFFF1C9"/>
      </patternFill>
    </fill>
    <fill>
      <patternFill patternType="solid">
        <fgColor rgb="FFDCEFE3"/>
      </patternFill>
    </fill>
    <fill>
      <patternFill patternType="solid">
        <fgColor rgb="FFEDEAE0"/>
      </patternFill>
    </fill>
  </fills>
  <borders count="2">
    <border>
      <left/>
      <right/>
      <top/>
      <bottom/>
      <diagonal/>
    </border>
    <border>
      <left style="thin">
        <color rgb="FFBDB6A5"/>
      </left>
      <right style="thin">
        <color rgb="FFBDB6A5"/>
      </right>
      <top style="thin">
        <color rgb="FFBDB6A5"/>
      </top>
      <bottom style="thin">
        <color rgb="FFBDB6A5"/>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0" fillId="2" borderId="0" xfId="0" applyFill="1"/>
    <xf numFmtId="0" fontId="0" fillId="3" borderId="0" xfId="0" applyFill="1"/>
    <xf numFmtId="0" fontId="4" fillId="0" borderId="0" xfId="0" applyFont="1"/>
    <xf numFmtId="0" fontId="0" fillId="2" borderId="1" xfId="0" applyFill="1" applyBorder="1"/>
    <xf numFmtId="3" fontId="3" fillId="3" borderId="1" xfId="0" applyNumberFormat="1" applyFont="1" applyFill="1" applyBorder="1"/>
    <xf numFmtId="3" fontId="0" fillId="0" borderId="1" xfId="0" applyNumberFormat="1" applyBorder="1"/>
    <xf numFmtId="0" fontId="3" fillId="4" borderId="1" xfId="0" applyFont="1" applyFill="1" applyBorder="1" applyAlignment="1">
      <alignment vertical="center" wrapText="1"/>
    </xf>
    <xf numFmtId="164" fontId="3" fillId="3" borderId="1" xfId="0" applyNumberFormat="1" applyFont="1" applyFill="1" applyBorder="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FormatPr defaultRowHeight="16" outlineLevelRow="0" outlineLevelCol="0" x14ac:dyDescent="55" customHeight="1"/>
  <cols>
    <col min="1" max="1" width="30" customWidth="1"/>
    <col min="2" max="2" width="70" customWidth="1"/>
  </cols>
  <sheetData>
    <row r="1" spans="1:1" x14ac:dyDescent="0.25">
      <c r="A1" s="1" t="s">
        <v>0</v>
      </c>
    </row>
    <row r="2" spans="1:1" x14ac:dyDescent="0.25">
      <c r="A2" s="2" t="s">
        <v>1</v>
      </c>
    </row>
    <row r="4" spans="1:1" x14ac:dyDescent="0.25">
      <c r="A4" s="3" t="s">
        <v>2</v>
      </c>
    </row>
    <row r="5" spans="1:2" x14ac:dyDescent="0.25">
      <c r="A5" s="3" t="s">
        <v>3</v>
      </c>
      <c r="B5" s="4" t="s">
        <v>4</v>
      </c>
    </row>
    <row r="7" spans="1:1" x14ac:dyDescent="0.25">
      <c r="A7" s="3" t="s">
        <v>5</v>
      </c>
    </row>
    <row r="8" spans="1:2" x14ac:dyDescent="0.25">
      <c r="A8" s="5" t="s">
        <v>6</v>
      </c>
      <c r="B8" t="s">
        <v>7</v>
      </c>
    </row>
    <row r="9" spans="1:2" x14ac:dyDescent="0.25">
      <c r="A9" s="6" t="s">
        <v>8</v>
      </c>
      <c r="B9" t="s">
        <v>9</v>
      </c>
    </row>
    <row r="11" spans="1:1" x14ac:dyDescent="0.25">
      <c r="A11" s="3" t="s">
        <v>10</v>
      </c>
    </row>
    <row r="12" spans="1:2" x14ac:dyDescent="0.25">
      <c r="A12" s="7" t="s">
        <v>11</v>
      </c>
      <c r="B12" t="s">
        <v>12</v>
      </c>
    </row>
    <row r="13" spans="1:2" x14ac:dyDescent="0.25">
      <c r="A13" s="7" t="s">
        <v>13</v>
      </c>
      <c r="B13" t="s">
        <v>14</v>
      </c>
    </row>
    <row r="14" spans="1:2" x14ac:dyDescent="0.25">
      <c r="A14" s="7" t="s">
        <v>15</v>
      </c>
      <c r="B14" t="s">
        <v>16</v>
      </c>
    </row>
    <row r="16" spans="1:1" x14ac:dyDescent="0.25">
      <c r="A16"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FormatPr defaultRowHeight="16" outlineLevelRow="0" outlineLevelCol="0" x14ac:dyDescent="55" customHeight="1"/>
  <cols>
    <col min="1" max="1" width="48" customWidth="1"/>
    <col min="2" max="2" width="16" customWidth="1"/>
    <col min="3" max="3" width="4" customWidth="1"/>
    <col min="4" max="4" width="30" customWidth="1"/>
  </cols>
  <sheetData>
    <row r="1" spans="1:1" x14ac:dyDescent="0.25">
      <c r="A1" s="1" t="s">
        <v>18</v>
      </c>
    </row>
    <row r="2" spans="1:1" x14ac:dyDescent="0.25">
      <c r="A2" s="2" t="s">
        <v>19</v>
      </c>
    </row>
    <row r="4" spans="1:2" x14ac:dyDescent="0.25">
      <c r="A4" t="s">
        <v>20</v>
      </c>
      <c r="B4" s="8">
        <v>6</v>
      </c>
    </row>
    <row r="5" spans="1:2" x14ac:dyDescent="0.25">
      <c r="A5" t="s">
        <v>21</v>
      </c>
      <c r="B5" s="8">
        <v>4</v>
      </c>
    </row>
    <row r="7" spans="1:2" x14ac:dyDescent="0.25">
      <c r="A7" t="s">
        <v>22</v>
      </c>
      <c r="B7" s="9">
        <f>COMBIN(B4,B5)</f>
        <v>15</v>
      </c>
    </row>
    <row r="8" spans="1:2" x14ac:dyDescent="0.25">
      <c r="A8" t="s">
        <v>23</v>
      </c>
      <c r="B8" s="9">
        <f>PERMUT(B4,B5)</f>
        <v>360</v>
      </c>
    </row>
    <row r="9" spans="1:2" x14ac:dyDescent="0.25">
      <c r="A9" t="s">
        <v>24</v>
      </c>
      <c r="B9" s="10">
        <f>FACT(B4)</f>
        <v>720</v>
      </c>
    </row>
    <row r="10" spans="1:2" x14ac:dyDescent="0.25">
      <c r="A10" t="s">
        <v>25</v>
      </c>
      <c r="B10" s="10">
        <f>B8/B7</f>
        <v>24</v>
      </c>
    </row>
    <row r="12" spans="1:2" x14ac:dyDescent="0.25">
      <c r="A12" s="11" t="s">
        <v>26</v>
      </c>
      <c r="B12" s="11" t="s">
        <v>27</v>
      </c>
    </row>
    <row r="13" spans="1:2" x14ac:dyDescent="0.25">
      <c r="A13" t="s">
        <v>28</v>
      </c>
      <c r="B13" s="10">
        <f>COMBIN(6,4)</f>
        <v>15</v>
      </c>
    </row>
    <row r="14" spans="1:2" x14ac:dyDescent="0.25">
      <c r="A14" t="s">
        <v>29</v>
      </c>
      <c r="B14" s="10">
        <f>PERMUT(4,2)</f>
        <v>12</v>
      </c>
    </row>
    <row r="15" spans="1:2" x14ac:dyDescent="0.25">
      <c r="A15" t="s">
        <v>30</v>
      </c>
      <c r="B15" s="10">
        <f>COMBIN(50,5)</f>
        <v>2118760</v>
      </c>
    </row>
    <row r="16" spans="1:2" x14ac:dyDescent="0.25">
      <c r="A16" t="s">
        <v>31</v>
      </c>
      <c r="B16" s="10">
        <f>COMBIN(44,5)</f>
        <v>1086008</v>
      </c>
    </row>
    <row r="17" spans="1:2" x14ac:dyDescent="0.25">
      <c r="A17" t="s">
        <v>32</v>
      </c>
      <c r="B17" s="12">
        <f>B16/B15</f>
        <v>0.5125677282939077</v>
      </c>
    </row>
    <row r="19" ht="16" customHeight="1" spans="1:4" x14ac:dyDescent="0.25">
      <c r="A19" s="13" t="s">
        <v>33</v>
      </c>
      <c r="B19" s="13"/>
      <c r="C19" s="13"/>
      <c r="D19" s="13"/>
    </row>
    <row r="20" spans="1:4" x14ac:dyDescent="0.25">
      <c r="A20" s="13"/>
      <c r="B20" s="13"/>
      <c r="C20" s="13"/>
      <c r="D20" s="13"/>
    </row>
    <row r="21" spans="1:4" x14ac:dyDescent="0.25">
      <c r="A21" s="13"/>
      <c r="B21" s="13"/>
      <c r="C21" s="13"/>
      <c r="D21" s="13"/>
    </row>
  </sheetData>
  <mergeCells count="1">
    <mergeCell ref="A19:D2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Léeme</vt:lpstr>
      <vt:lpstr>Calculadora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Jair Cárdenas Cardona</dc:creator>
  <dc:title>Conteo</dc:title>
  <dc:subject/>
  <dc:description/>
  <cp:keywords/>
  <cp:category/>
  <cp:lastModifiedBy>Unknown</cp:lastModifiedBy>
  <dcterms:created xsi:type="dcterms:W3CDTF">2026-09-19T13:43:35Z</dcterms:created>
  <dcterms:modified xsi:type="dcterms:W3CDTF">2026-09-19T13:43:35Z</dcterms:modified>
</cp:coreProperties>
</file>