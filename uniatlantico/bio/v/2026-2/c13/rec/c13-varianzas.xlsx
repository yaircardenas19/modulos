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Dos estanques" state="visible" r:id="rId5"/>
    <sheet sheetId="3" name="Contra el contrato" state="visible" r:id="rId6"/>
  </sheets>
  <calcPr calcId="171027" fullCalcOnLoad="1"/>
</workbook>
</file>

<file path=xl/sharedStrings.xml><?xml version="1.0" encoding="utf-8"?>
<sst xmlns="http://schemas.openxmlformats.org/spreadsheetml/2006/main" count="48" uniqueCount="45">
  <si>
    <t>Capítulo 13 · Cuando lo que importa es la dispersión</t>
  </si>
  <si>
    <t>Hoja del QR de recursos · Módulo de Bioestadística · Semestre 2026-2</t>
  </si>
  <si>
    <t>Qué trae este libro</t>
  </si>
  <si>
    <t>Dos estanques</t>
  </si>
  <si>
    <t>Prueba F: ¿el estanque B es más disparejo que el A?</t>
  </si>
  <si>
    <t>Contra el contrato</t>
  </si>
  <si>
    <t>Ji-cuadrado: ¿el estanque B cumple la desviación máxima de 25 g?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</si>
  <si>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</si>
  <si>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</si>
  <si>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</si>
  <si>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</si>
  <si>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</si>
  <si>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</si>
  <si>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=DISTR.F.CD(F;gl1;gl2)</t>
  </si>
  <si>
    <t>el área a la derecha de F</t>
  </si>
  <si>
    <t>=INV.F.CD(α;gl1;gl2)</t>
  </si>
  <si>
    <t>el F crítico</t>
  </si>
  <si>
    <t>=DISTR.CHICUAD.CD(x;gl)</t>
  </si>
  <si>
    <t>el área a la derecha en la ji-cuadrado</t>
  </si>
  <si>
    <t>=PRUEBA.F(rango1;rango2)</t>
  </si>
  <si>
    <t>lo mismo que esta hoja, pero con los datos de cada pez</t>
  </si>
  <si>
    <t>Si tu Excel está en inglés, las funciones aparecen con su nombre en inglés. Es la misma fórmula.</t>
  </si>
  <si>
    <t>¿Cuál mando?</t>
  </si>
  <si>
    <t>Dos estanques de 25 peces muestreados. El contrato exige uniformidad.</t>
  </si>
  <si>
    <t/>
  </si>
  <si>
    <t>A</t>
  </si>
  <si>
    <t>B</t>
  </si>
  <si>
    <t>La prueba va con VARIANZAS, no con desviaciones: 42/18 = 2,33, pero 1 764/324 = 5,44. Meter las desviaciones es el error 2 del bloque 9.</t>
  </si>
  <si>
    <t>Desviación estándar (g)</t>
  </si>
  <si>
    <t>n</t>
  </si>
  <si>
    <t>Varianza (g²)</t>
  </si>
  <si>
    <t>F = varianza mayor / varianza menor</t>
  </si>
  <si>
    <t>gl del numerador · del denominador</t>
  </si>
  <si>
    <t>α</t>
  </si>
  <si>
    <t>F crítico (dos colas: α/2 a la derecha)</t>
  </si>
  <si>
    <t>Valor p (dos colas)</t>
  </si>
  <si>
    <t>Decisión</t>
  </si>
  <si>
    <t>¿El estanque B cumple?</t>
  </si>
  <si>
    <t>El contrato exige una desviación no mayor a 25 g.</t>
  </si>
  <si>
    <t>Desviación de la muestra s (g)</t>
  </si>
  <si>
    <t>Desviación máxima del contrato σ₀ (g)</t>
  </si>
  <si>
    <t>χ² = (n − 1)·s² / σ₀²</t>
  </si>
  <si>
    <t>gl</t>
  </si>
  <si>
    <t>χ² crítico (una cola, a la derecha)</t>
  </si>
  <si>
    <t>Valor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</si>
</sst>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5" fillId="5" borderId="0" xfId="0" applyFont="1" applyFill="1" applyAlignment="1">
      <alignment vertical="top" wrapText="1"/>
    </xf>
    <xf numFmtId="0" fontId="0" fillId="2" borderId="1" xfId="0" applyFill="1" applyBorder="1"/>
    <xf numFmtId="3" fontId="0" fillId="0" borderId="1" xfId="0" applyNumberFormat="1" applyBorder="1"/>
    <xf numFmtId="2" fontId="3" fillId="3" borderId="1" xfId="0" applyNumberFormat="1" applyFont="1" applyFill="1" applyBorder="1"/>
    <xf numFmtId="0" fontId="0" fillId="0" borderId="1" xfId="0" applyBorder="1"/>
    <xf numFmtId="2" fontId="0" fillId="2" borderId="1" xfId="0" applyNumberFormat="1" applyFill="1" applyBorder="1"/>
    <xf numFmtId="2" fontId="0" fillId="0" borderId="1" xfId="0" applyNumberFormat="1" applyBorder="1"/>
    <xf numFmtId="164" fontId="3" fillId="3" borderId="1" xfId="0" applyNumberFormat="1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6" spans="1:2" x14ac:dyDescent="0.25">
      <c r="A16" s="7" t="s">
        <v>19</v>
      </c>
      <c r="B16" t="s">
        <v>20</v>
      </c>
    </row>
    <row r="18" spans="1:1" x14ac:dyDescent="0.25">
      <c r="A18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6" outlineLevelRow="0" outlineLevelCol="0" x14ac:dyDescent="55" customHeight="1"/>
  <cols>
    <col min="1" max="1" width="46" customWidth="1"/>
    <col min="2" max="3" width="14" customWidth="1"/>
    <col min="4" max="4" width="4" customWidth="1"/>
    <col min="5" max="5" width="40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4" ht="16" customHeight="1" spans="1:5" x14ac:dyDescent="0.25">
      <c r="A4" s="8" t="s">
        <v>24</v>
      </c>
      <c r="B4" s="8" t="s">
        <v>25</v>
      </c>
      <c r="C4" s="8" t="s">
        <v>26</v>
      </c>
      <c r="E4" s="9" t="s">
        <v>27</v>
      </c>
    </row>
    <row r="5" spans="1:5" x14ac:dyDescent="0.25">
      <c r="A5" t="s">
        <v>28</v>
      </c>
      <c r="B5" s="10">
        <v>18</v>
      </c>
      <c r="C5" s="10">
        <v>42</v>
      </c>
      <c r="E5" s="9"/>
    </row>
    <row r="6" spans="1:5" x14ac:dyDescent="0.25">
      <c r="A6" t="s">
        <v>29</v>
      </c>
      <c r="B6" s="10">
        <v>25</v>
      </c>
      <c r="C6" s="10">
        <v>25</v>
      </c>
      <c r="E6" s="9"/>
    </row>
    <row r="7" spans="1:5" x14ac:dyDescent="0.25">
      <c r="A7" t="s">
        <v>30</v>
      </c>
      <c r="B7" s="11">
        <f>B5^2</f>
        <v>324</v>
      </c>
      <c r="C7" s="11">
        <f>C5^2</f>
        <v>1764</v>
      </c>
      <c r="E7" s="9"/>
    </row>
    <row r="8" spans="5:5" x14ac:dyDescent="0.25">
      <c r="E8" s="9"/>
    </row>
    <row r="9" spans="1:5" x14ac:dyDescent="0.25">
      <c r="A9" t="s">
        <v>31</v>
      </c>
      <c r="B9" s="12">
        <f>MAX(B7:C7)/MIN(B7:C7)</f>
        <v>5.444444444444445</v>
      </c>
      <c r="E9" s="9"/>
    </row>
    <row r="10" spans="1:5" x14ac:dyDescent="0.25">
      <c r="A10" t="s">
        <v>32</v>
      </c>
      <c r="B10" s="13">
        <f>IF(C7&gt;=B7,C6-1,B6-1)</f>
        <v>24</v>
      </c>
      <c r="C10" s="13">
        <f>IF(C7&gt;=B7,B6-1,C6-1)</f>
        <v>24</v>
      </c>
      <c r="E10" s="9"/>
    </row>
    <row r="11" spans="1:2" x14ac:dyDescent="0.25">
      <c r="A11" t="s">
        <v>33</v>
      </c>
      <c r="B11" s="14">
        <v>0.05</v>
      </c>
    </row>
    <row r="12" spans="1:2" x14ac:dyDescent="0.25">
      <c r="A12" t="s">
        <v>34</v>
      </c>
      <c r="B12" s="15">
        <f>_xlfn.F.INV.RT(B11/2,B10,C10)</f>
        <v>2.2692772776214225</v>
      </c>
    </row>
    <row r="13" spans="1:2" x14ac:dyDescent="0.25">
      <c r="A13" t="s">
        <v>35</v>
      </c>
      <c r="B13" s="16">
        <f>MIN(1,2*_xlfn.F.DIST.RT(B9,B10,C10))</f>
        <v>0.00009716321425228333</v>
      </c>
    </row>
    <row r="14" spans="1:2" x14ac:dyDescent="0.25">
      <c r="A14" t="s">
        <v>36</v>
      </c>
      <c r="B14" s="17" t="str">
        <f>IF(B9&gt;B12,"se rechaza H₀: dispersiones distintas","no se rechaza H₀")</f>
        <v>se rechaza H₀: dispersiones distintas</v>
      </c>
    </row>
  </sheetData>
  <mergeCells count="1">
    <mergeCell ref="E4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6" outlineLevelRow="0" outlineLevelCol="0" x14ac:dyDescent="55" customHeight="1"/>
  <cols>
    <col min="1" max="1" width="46" customWidth="1"/>
    <col min="2" max="2" width="14" customWidth="1"/>
    <col min="3" max="3" width="4" customWidth="1"/>
    <col min="4" max="4" width="40" customWidth="1"/>
  </cols>
  <sheetData>
    <row r="1" spans="1:1" x14ac:dyDescent="0.25">
      <c r="A1" s="1" t="s">
        <v>37</v>
      </c>
    </row>
    <row r="2" spans="1:1" x14ac:dyDescent="0.25">
      <c r="A2" s="2" t="s">
        <v>38</v>
      </c>
    </row>
    <row r="4" spans="1:2" x14ac:dyDescent="0.25">
      <c r="A4" t="s">
        <v>39</v>
      </c>
      <c r="B4" s="10">
        <v>42</v>
      </c>
    </row>
    <row r="5" spans="1:2" x14ac:dyDescent="0.25">
      <c r="A5" t="s">
        <v>29</v>
      </c>
      <c r="B5" s="10">
        <v>25</v>
      </c>
    </row>
    <row r="6" spans="1:2" x14ac:dyDescent="0.25">
      <c r="A6" t="s">
        <v>40</v>
      </c>
      <c r="B6" s="10">
        <v>25</v>
      </c>
    </row>
    <row r="7" spans="1:2" x14ac:dyDescent="0.25">
      <c r="A7" t="s">
        <v>33</v>
      </c>
      <c r="B7" s="14">
        <v>0.05</v>
      </c>
    </row>
    <row r="9" spans="1:2" x14ac:dyDescent="0.25">
      <c r="A9" t="s">
        <v>41</v>
      </c>
      <c r="B9" s="12">
        <f>(B5-1)*B4^2/B6^2</f>
        <v>67.7376</v>
      </c>
    </row>
    <row r="10" spans="1:2" x14ac:dyDescent="0.25">
      <c r="A10" t="s">
        <v>42</v>
      </c>
      <c r="B10" s="13">
        <f>B5-1</f>
        <v>24</v>
      </c>
    </row>
    <row r="11" spans="1:2" x14ac:dyDescent="0.25">
      <c r="A11" t="s">
        <v>43</v>
      </c>
      <c r="B11" s="15">
        <f>_xlfn.CHISQ.INV.RT(B7,B10)</f>
        <v>36.4150285018073</v>
      </c>
    </row>
    <row r="12" spans="1:2" x14ac:dyDescent="0.25">
      <c r="A12" t="s">
        <v>44</v>
      </c>
      <c r="B12" s="18">
        <f>_xlfn.CHISQ.DIST.RT(B9,B10)</f>
        <v>0.0000047871590280745835</v>
      </c>
    </row>
    <row r="13" spans="1:2" x14ac:dyDescent="0.25">
      <c r="A13" t="s">
        <v>36</v>
      </c>
      <c r="B13" s="17" t="str">
        <f>IF(B9&gt;B11,"se rechaza H₀: incumple el contrato","no se rechaza H₀")</f>
        <v>se rechaza H₀: incumple el contrato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Dos estanques</vt:lpstr>
      <vt:lpstr>Contra el contrato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Varianzas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