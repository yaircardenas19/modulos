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Cosecha" state="visible" r:id="rId5"/>
    <sheet sheetId="3" name="Tabla Z" state="visible" r:id="rId6"/>
  </sheets>
  <definedNames>
    <definedName name="_xlnm.Print_Area" localSheetId="2">'Tabla Z'!$A1:$K74</definedName>
  </definedNames>
  <calcPr calcId="171027" fullCalcOnLoad="1"/>
</workbook>
</file>

<file path=xl/sharedStrings.xml><?xml version="1.0" encoding="utf-8"?>
<sst xmlns="http://schemas.openxmlformats.org/spreadsheetml/2006/main" count="117" uniqueCount="117">
  <si>
    <t>Capítulo 8 · La curva normal</t>
  </si>
  <si>
    <t>Hoja del QR de recursos · Módulo de Bioestadística · Semestre 2026-2</t>
  </si>
  <si>
    <t>Qué trae este libro</t>
  </si>
  <si>
    <t>Cosecha</t>
  </si>
  <si>
    <t>Cuántos peces quedan por debajo del corte de precio, con y sin estandarizar.</t>
  </si>
  <si>
    <t>Tabla Z</t>
  </si>
  <si>
    <t>La tabla normal estándar completa, de −3,49 a 3,49, lista para imprimir en una hoja.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</si>
  <si>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</si>
  <si>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</si>
  <si>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</si>
  <si>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</si>
  <si>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</si>
  <si>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</si>
  <si>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=DISTR.NORM.N(x;μ;σ;VERDADERO)</t>
  </si>
  <si>
    <t>el área a la izquierda de x, sin estandarizar</t>
  </si>
  <si>
    <t>=DISTR.NORM.ESTAND.N(z;VERDADERO)</t>
  </si>
  <si>
    <t>el área a la izquierda de z, en la normal estándar</t>
  </si>
  <si>
    <t>=INV.NORM(prob;μ;σ)</t>
  </si>
  <si>
    <t>el peso que deja esa probabilidad a su izquierda</t>
  </si>
  <si>
    <t>Si tu Excel está en inglés, las funciones aparecen con su nombre en inglés. Es la misma fórmula.</t>
  </si>
  <si>
    <t>¿Cosecho ya o espero dos semanas?</t>
  </si>
  <si>
    <t>Estanque de 9 000 peces: promedio 400 g, desviación 35 g. El comprador paga completo desde 380 g.</t>
  </si>
  <si>
    <t>Promedio μ (g)</t>
  </si>
  <si>
    <t>¿Por qué 0,2839 y no 0,2843? Excel usa Z = −0,5714 con todos sus decimales. La tabla obliga a redondear a −0,57, y eso da 0,2843. Por eso el libro dice 2 556 peces y aquí salen 2 555. Los dos cálculos están bien hechos: la diferencia es el redondeo.</t>
  </si>
  <si>
    <t>Desviación σ (g)</t>
  </si>
  <si>
    <t>Corte de precio (g)</t>
  </si>
  <si>
    <t>Peces en el estanque</t>
  </si>
  <si>
    <t>Z = (corte − μ)/σ</t>
  </si>
  <si>
    <t>P(peso &lt; corte), sin estandarizar</t>
  </si>
  <si>
    <t>P(peso &lt; corte), estandarizando</t>
  </si>
  <si>
    <t>P(peso &lt; corte), con la tabla (Z redondeado a 2 decimales)</t>
  </si>
  <si>
    <t>Peces que se pagan al precio bajo</t>
  </si>
  <si>
    <t>Peces que se pagan completo</t>
  </si>
  <si>
    <t>Peso que deja el 10 % más liviano por debajo</t>
  </si>
  <si>
    <t>Tabla de la normal estándar: área a la izquierda de z</t>
  </si>
  <si>
    <t>Fila: z con un decimal. Columna: el segundo decimal.</t>
  </si>
  <si>
    <t>z</t>
  </si>
  <si>
    <t>0,00</t>
  </si>
  <si>
    <t>0,01</t>
  </si>
  <si>
    <t>0,02</t>
  </si>
  <si>
    <t>0,03</t>
  </si>
  <si>
    <t>0,04</t>
  </si>
  <si>
    <t>0,05</t>
  </si>
  <si>
    <t>0,06</t>
  </si>
  <si>
    <t>0,07</t>
  </si>
  <si>
    <t>0,08</t>
  </si>
  <si>
    <t>0,09</t>
  </si>
  <si>
    <t>−3,4</t>
  </si>
  <si>
    <t>−3,3</t>
  </si>
  <si>
    <t>−3,2</t>
  </si>
  <si>
    <t>−3,1</t>
  </si>
  <si>
    <t>−3,0</t>
  </si>
  <si>
    <t>−2,9</t>
  </si>
  <si>
    <t>−2,8</t>
  </si>
  <si>
    <t>−2,7</t>
  </si>
  <si>
    <t>−2,6</t>
  </si>
  <si>
    <t>−2,5</t>
  </si>
  <si>
    <t>−2,4</t>
  </si>
  <si>
    <t>−2,3</t>
  </si>
  <si>
    <t>−2,2</t>
  </si>
  <si>
    <t>−2,1</t>
  </si>
  <si>
    <t>−2,0</t>
  </si>
  <si>
    <t>−1,9</t>
  </si>
  <si>
    <t>−1,8</t>
  </si>
  <si>
    <t>−1,7</t>
  </si>
  <si>
    <t>−1,6</t>
  </si>
  <si>
    <t>−1,5</t>
  </si>
  <si>
    <t>−1,4</t>
  </si>
  <si>
    <t>−1,3</t>
  </si>
  <si>
    <t>−1,2</t>
  </si>
  <si>
    <t>−1,1</t>
  </si>
  <si>
    <t>−1,0</t>
  </si>
  <si>
    <t>−0,9</t>
  </si>
  <si>
    <t>−0,8</t>
  </si>
  <si>
    <t>−0,7</t>
  </si>
  <si>
    <t>−0,6</t>
  </si>
  <si>
    <t>−0,5</t>
  </si>
  <si>
    <t>−0,4</t>
  </si>
  <si>
    <t>−0,3</t>
  </si>
  <si>
    <t>−0,2</t>
  </si>
  <si>
    <t>−0,1</t>
  </si>
  <si>
    <t>−0,0</t>
  </si>
  <si>
    <t>0,0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</si>
  <si>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</si>
  <si>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</si>
  <si>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</si>
  <si>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</si>
  <si>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</si>
  <si>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</si>
  <si>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</si>
  <si>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</si>
  <si>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</si>
  <si>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1,0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</si>
  <si>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</si>
  <si>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</si>
  <si>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</si>
  <si>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</si>
  <si>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</si>
  <si>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</si>
  <si>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</si>
  <si>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</si>
  <si>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</si>
  <si>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2,0</t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</si>
  <si>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</si>
  <si>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</si>
  <si>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</si>
  <si>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</si>
  <si>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</si>
  <si>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</si>
  <si>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</si>
  <si>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</si>
  <si>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</si>
  <si>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3,0</t>
  </si>
  <si>
    <t>3,1</t>
  </si>
  <si>
    <t>3,2</t>
  </si>
  <si>
    <t>3,3</t>
  </si>
  <si>
    <t>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</si>
</sst>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FBE3DA"/>
      </patternFill>
    </fill>
    <fill>
      <patternFill patternType="solid">
        <fgColor rgb="FFEDEAE0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0" fontId="5" fillId="4" borderId="0" xfId="0" applyFont="1" applyFill="1" applyAlignment="1">
      <alignment vertical="top" wrapText="1"/>
    </xf>
    <xf numFmtId="3" fontId="0" fillId="2" borderId="1" xfId="0" applyNumberFormat="1" applyFill="1" applyBorder="1"/>
    <xf numFmtId="164" fontId="0" fillId="0" borderId="1" xfId="0" applyNumberFormat="1" applyBorder="1"/>
    <xf numFmtId="164" fontId="3" fillId="3" borderId="1" xfId="0" applyNumberFormat="1" applyFont="1" applyFill="1" applyBorder="1"/>
    <xf numFmtId="3" fontId="3" fillId="3" borderId="1" xfId="0" applyNumberFormat="1" applyFont="1" applyFill="1" applyBorder="1"/>
    <xf numFmtId="165" fontId="0" fillId="0" borderId="1" xfId="0" applyNumberFormat="1" applyBorder="1"/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7" spans="1:1" x14ac:dyDescent="0.25">
      <c r="A17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6" outlineLevelRow="0" outlineLevelCol="0" x14ac:dyDescent="55" customHeight="1"/>
  <cols>
    <col min="1" max="1" width="46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4" ht="16" customHeight="1" spans="1:4" x14ac:dyDescent="0.25">
      <c r="A4" t="s">
        <v>22</v>
      </c>
      <c r="B4" s="8">
        <v>400</v>
      </c>
      <c r="D4" s="9" t="s">
        <v>23</v>
      </c>
    </row>
    <row r="5" spans="1:4" x14ac:dyDescent="0.25">
      <c r="A5" t="s">
        <v>24</v>
      </c>
      <c r="B5" s="8">
        <v>35</v>
      </c>
      <c r="D5" s="9"/>
    </row>
    <row r="6" spans="1:4" x14ac:dyDescent="0.25">
      <c r="A6" t="s">
        <v>25</v>
      </c>
      <c r="B6" s="8">
        <v>380</v>
      </c>
      <c r="D6" s="9"/>
    </row>
    <row r="7" spans="1:4" x14ac:dyDescent="0.25">
      <c r="A7" t="s">
        <v>26</v>
      </c>
      <c r="B7" s="10">
        <v>9000</v>
      </c>
      <c r="D7" s="9"/>
    </row>
    <row r="8" spans="4:4" x14ac:dyDescent="0.25">
      <c r="D8" s="9"/>
    </row>
    <row r="9" spans="1:4" x14ac:dyDescent="0.25">
      <c r="A9" t="s">
        <v>27</v>
      </c>
      <c r="B9" s="11">
        <f>(B6-B4)/B5</f>
        <v>-0.5714285714285714</v>
      </c>
      <c r="D9" s="9"/>
    </row>
    <row r="10" spans="1:4" x14ac:dyDescent="0.25">
      <c r="A10" t="s">
        <v>28</v>
      </c>
      <c r="B10" s="12">
        <f>_xlfn.NORM.DIST(B6,B4,B5,TRUE)</f>
        <v>0.28385455923226466</v>
      </c>
      <c r="D10" s="9"/>
    </row>
    <row r="11" spans="1:4" x14ac:dyDescent="0.25">
      <c r="A11" t="s">
        <v>29</v>
      </c>
      <c r="B11" s="11">
        <f>_xlfn.NORM.S.DIST(B9,TRUE)</f>
        <v>0.28385455923226466</v>
      </c>
      <c r="D11" s="9"/>
    </row>
    <row r="12" spans="1:4" x14ac:dyDescent="0.25">
      <c r="A12" t="s">
        <v>30</v>
      </c>
      <c r="B12" s="11">
        <f>_xlfn.NORM.S.DIST(ROUND(B9,2),TRUE)</f>
        <v>0.2843388251617406</v>
      </c>
      <c r="D12" s="9"/>
    </row>
    <row r="14" spans="1:2" x14ac:dyDescent="0.25">
      <c r="A14" t="s">
        <v>31</v>
      </c>
      <c r="B14" s="13">
        <f>B7*B10</f>
        <v>2554.691033090382</v>
      </c>
    </row>
    <row r="15" spans="1:2" x14ac:dyDescent="0.25">
      <c r="A15" t="s">
        <v>32</v>
      </c>
      <c r="B15" s="13">
        <f>B7-B14</f>
        <v>6445.308966909618</v>
      </c>
    </row>
    <row r="16" spans="1:2" x14ac:dyDescent="0.25">
      <c r="A16" t="s">
        <v>33</v>
      </c>
      <c r="B16" s="14">
        <f>_xlfn.NORM.INV(0.1,B4,B5)</f>
        <v>355.14569525509455</v>
      </c>
    </row>
  </sheetData>
  <mergeCells count="1">
    <mergeCell ref="D4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8" customWidth="1"/>
    <col min="2" max="11" width="8.2" customWidth="1"/>
  </cols>
  <sheetData>
    <row r="1" spans="1:1" x14ac:dyDescent="0.25">
      <c r="A1" s="1" t="s">
        <v>34</v>
      </c>
    </row>
    <row r="2" spans="1:1" x14ac:dyDescent="0.25">
      <c r="A2" s="2" t="s">
        <v>35</v>
      </c>
    </row>
    <row r="4" spans="1:11" x14ac:dyDescent="0.25">
      <c r="A4" s="15" t="s">
        <v>36</v>
      </c>
      <c r="B4" s="15" t="s">
        <v>37</v>
      </c>
      <c r="C4" s="15" t="s">
        <v>38</v>
      </c>
      <c r="D4" s="15" t="s">
        <v>39</v>
      </c>
      <c r="E4" s="15" t="s">
        <v>40</v>
      </c>
      <c r="F4" s="15" t="s">
        <v>41</v>
      </c>
      <c r="G4" s="15" t="s">
        <v>42</v>
      </c>
      <c r="H4" s="15" t="s">
        <v>43</v>
      </c>
      <c r="I4" s="15" t="s">
        <v>44</v>
      </c>
      <c r="J4" s="15" t="s">
        <v>45</v>
      </c>
      <c r="K4" s="15" t="s">
        <v>46</v>
      </c>
    </row>
    <row r="5" spans="1:11" x14ac:dyDescent="0.25">
      <c r="A5" s="16" t="s">
        <v>47</v>
      </c>
      <c r="B5" s="11">
        <f>_xlfn.NORM.S.DIST(-3.4,TRUE)</f>
        <v>0.00033692929180028616</v>
      </c>
      <c r="C5" s="11">
        <f>_xlfn.NORM.S.DIST(-3.41,TRUE)</f>
        <v>0.0003248144228307476</v>
      </c>
      <c r="D5" s="11">
        <f>_xlfn.NORM.S.DIST(-3.42,TRUE)</f>
        <v>0.0003131057032891647</v>
      </c>
      <c r="E5" s="11">
        <f>_xlfn.NORM.S.DIST(-3.43,TRUE)</f>
        <v>0.0003017906486209977</v>
      </c>
      <c r="F5" s="11">
        <f>_xlfn.NORM.S.DIST(-3.44,TRUE)</f>
        <v>0.0002908571166164122</v>
      </c>
      <c r="G5" s="11">
        <f>_xlfn.NORM.S.DIST(-3.45,TRUE)</f>
        <v>0.00028029329946462094</v>
      </c>
      <c r="H5" s="11">
        <f>_xlfn.NORM.S.DIST(-3.46,TRUE)</f>
        <v>0.00027008771594465867</v>
      </c>
      <c r="I5" s="11">
        <f>_xlfn.NORM.S.DIST(-3.47,TRUE)</f>
        <v>0.00026022920375180303</v>
      </c>
      <c r="J5" s="11">
        <f>_xlfn.NORM.S.DIST(-3.48,TRUE)</f>
        <v>0.00025070691195883647</v>
      </c>
      <c r="K5" s="11">
        <f>_xlfn.NORM.S.DIST(-3.49,TRUE)</f>
        <v>0.00024151029361125928</v>
      </c>
    </row>
    <row r="6" spans="1:11" x14ac:dyDescent="0.25">
      <c r="A6" s="16" t="s">
        <v>48</v>
      </c>
      <c r="B6" s="11">
        <f>_xlfn.NORM.S.DIST(-3.3,TRUE)</f>
        <v>0.0004834241758445145</v>
      </c>
      <c r="C6" s="11">
        <f>_xlfn.NORM.S.DIST(-3.31,TRUE)</f>
        <v>0.0004664798888330861</v>
      </c>
      <c r="D6" s="11">
        <f>_xlfn.NORM.S.DIST(-3.32,TRUE)</f>
        <v>0.00045008727257930006</v>
      </c>
      <c r="E6" s="11">
        <f>_xlfn.NORM.S.DIST(-3.33,TRUE)</f>
        <v>0.0004342299516287948</v>
      </c>
      <c r="F6" s="11">
        <f>_xlfn.NORM.S.DIST(-3.34,TRUE)</f>
        <v>0.00041889197995714604</v>
      </c>
      <c r="G6" s="11">
        <f>_xlfn.NORM.S.DIST(-3.35,TRUE)</f>
        <v>0.0004040578316313908</v>
      </c>
      <c r="H6" s="11">
        <f>_xlfn.NORM.S.DIST(-3.36,TRUE)</f>
        <v>0.0003897123916121399</v>
      </c>
      <c r="I6" s="11">
        <f>_xlfn.NORM.S.DIST(-3.37,TRUE)</f>
        <v>0.00037584094669617816</v>
      </c>
      <c r="J6" s="11">
        <f>_xlfn.NORM.S.DIST(-3.38,TRUE)</f>
        <v>0.00036242917659939965</v>
      </c>
      <c r="K6" s="11">
        <f>_xlfn.NORM.S.DIST(-3.39,TRUE)</f>
        <v>0.00034946314517980557</v>
      </c>
    </row>
    <row r="7" spans="1:11" x14ac:dyDescent="0.25">
      <c r="A7" s="16" t="s">
        <v>49</v>
      </c>
      <c r="B7" s="11">
        <f>_xlfn.NORM.S.DIST(-3.2,TRUE)</f>
        <v>0.0006871379781558006</v>
      </c>
      <c r="C7" s="11">
        <f>_xlfn.NORM.S.DIST(-3.21,TRUE)</f>
        <v>0.0006636749010809681</v>
      </c>
      <c r="D7" s="11">
        <f>_xlfn.NORM.S.DIST(-3.22,TRUE)</f>
        <v>0.0006409530226780832</v>
      </c>
      <c r="E7" s="11">
        <f>_xlfn.NORM.S.DIST(-3.23,TRUE)</f>
        <v>0.0006189511287605326</v>
      </c>
      <c r="F7" s="11">
        <f>_xlfn.NORM.S.DIST(-3.24,TRUE)</f>
        <v>0.0005976485356449471</v>
      </c>
      <c r="G7" s="11">
        <f>_xlfn.NORM.S.DIST(-3.25,TRUE)</f>
        <v>0.0005770250794216849</v>
      </c>
      <c r="H7" s="11">
        <f>_xlfn.NORM.S.DIST(-3.26,TRUE)</f>
        <v>0.0005570611053617321</v>
      </c>
      <c r="I7" s="11">
        <f>_xlfn.NORM.S.DIST(-3.27,TRUE)</f>
        <v>0.0005377374574609339</v>
      </c>
      <c r="J7" s="11">
        <f>_xlfn.NORM.S.DIST(-3.28,TRUE)</f>
        <v>0.0005190354681222848</v>
      </c>
      <c r="K7" s="11">
        <f>_xlfn.NORM.S.DIST(-3.29,TRUE)</f>
        <v>0.0005009369479769403</v>
      </c>
    </row>
    <row r="8" spans="1:11" x14ac:dyDescent="0.25">
      <c r="A8" s="16" t="s">
        <v>50</v>
      </c>
      <c r="B8" s="11">
        <f>_xlfn.NORM.S.DIST(-3.1,TRUE)</f>
        <v>0.0009676032574310448</v>
      </c>
      <c r="C8" s="11">
        <f>_xlfn.NORM.S.DIST(-3.11,TRUE)</f>
        <v>0.0009354367635487947</v>
      </c>
      <c r="D8" s="11">
        <f>_xlfn.NORM.S.DIST(-3.12,TRUE)</f>
        <v>0.0009042552436196099</v>
      </c>
      <c r="E8" s="11">
        <f>_xlfn.NORM.S.DIST(-3.13,TRUE)</f>
        <v>0.0008740315591363182</v>
      </c>
      <c r="F8" s="11">
        <f>_xlfn.NORM.S.DIST(-3.14,TRUE)</f>
        <v>0.000844739216619907</v>
      </c>
      <c r="G8" s="11">
        <f>_xlfn.NORM.S.DIST(-3.15,TRUE)</f>
        <v>0.0008163523555993804</v>
      </c>
      <c r="H8" s="11">
        <f>_xlfn.NORM.S.DIST(-3.16,TRUE)</f>
        <v>0.0007888457367127173</v>
      </c>
      <c r="I8" s="11">
        <f>_xlfn.NORM.S.DIST(-3.17,TRUE)</f>
        <v>0.0007621947299311022</v>
      </c>
      <c r="J8" s="11">
        <f>_xlfn.NORM.S.DIST(-3.18,TRUE)</f>
        <v>0.0007363753029083519</v>
      </c>
      <c r="K8" s="11">
        <f>_xlfn.NORM.S.DIST(-3.19,TRUE)</f>
        <v>0.0007113640094574435</v>
      </c>
    </row>
    <row r="9" spans="1:11" x14ac:dyDescent="0.25">
      <c r="A9" s="16" t="s">
        <v>51</v>
      </c>
      <c r="B9" s="11">
        <f>_xlfn.NORM.S.DIST(-3,TRUE)</f>
        <v>0.0013498980732556027</v>
      </c>
      <c r="C9" s="11">
        <f>_xlfn.NORM.S.DIST(-3.01,TRUE)</f>
        <v>0.0013062384910947202</v>
      </c>
      <c r="D9" s="11">
        <f>_xlfn.NORM.S.DIST(-3.02,TRUE)</f>
        <v>0.00126387347058307</v>
      </c>
      <c r="E9" s="11">
        <f>_xlfn.NORM.S.DIST(-3.03,TRUE)</f>
        <v>0.0012227687369808105</v>
      </c>
      <c r="F9" s="11">
        <f>_xlfn.NORM.S.DIST(-3.04,TRUE)</f>
        <v>0.0011828907868692432</v>
      </c>
      <c r="G9" s="11">
        <f>_xlfn.NORM.S.DIST(-3.05,TRUE)</f>
        <v>0.0011442068750683499</v>
      </c>
      <c r="H9" s="11">
        <f>_xlfn.NORM.S.DIST(-3.06,TRUE)</f>
        <v>0.00110668500164603</v>
      </c>
      <c r="I9" s="11">
        <f>_xlfn.NORM.S.DIST(-3.07,TRUE)</f>
        <v>0.0010702938990227314</v>
      </c>
      <c r="J9" s="11">
        <f>_xlfn.NORM.S.DIST(-3.08,TRUE)</f>
        <v>0.0010350030191749158</v>
      </c>
      <c r="K9" s="11">
        <f>_xlfn.NORM.S.DIST(-3.09,TRUE)</f>
        <v>0.0010007825209407339</v>
      </c>
    </row>
    <row r="10" spans="1:11" x14ac:dyDescent="0.25">
      <c r="A10" s="16" t="s">
        <v>52</v>
      </c>
      <c r="B10" s="11">
        <f>_xlfn.NORM.S.DIST(-2.9,TRUE)</f>
        <v>0.0018658133271294718</v>
      </c>
      <c r="C10" s="11">
        <f>_xlfn.NORM.S.DIST(-2.91,TRUE)</f>
        <v>0.0018071438098042274</v>
      </c>
      <c r="D10" s="11">
        <f>_xlfn.NORM.S.DIST(-2.92,TRUE)</f>
        <v>0.0017501569597336577</v>
      </c>
      <c r="E10" s="11">
        <f>_xlfn.NORM.S.DIST(-2.93,TRUE)</f>
        <v>0.001694810052210944</v>
      </c>
      <c r="F10" s="11">
        <f>_xlfn.NORM.S.DIST(-2.94,TRUE)</f>
        <v>0.0016410612687919011</v>
      </c>
      <c r="G10" s="11">
        <f>_xlfn.NORM.S.DIST(-2.95,TRUE)</f>
        <v>0.0015888696835345518</v>
      </c>
      <c r="H10" s="11">
        <f>_xlfn.NORM.S.DIST(-2.96,TRUE)</f>
        <v>0.001538195249284293</v>
      </c>
      <c r="I10" s="11">
        <f>_xlfn.NORM.S.DIST(-2.97,TRUE)</f>
        <v>0.0014889987840099785</v>
      </c>
      <c r="J10" s="11">
        <f>_xlfn.NORM.S.DIST(-2.98,TRUE)</f>
        <v>0.0014412419571962383</v>
      </c>
      <c r="K10" s="11">
        <f>_xlfn.NORM.S.DIST(-2.99,TRUE)</f>
        <v>0.0013948872762970692</v>
      </c>
    </row>
    <row r="11" spans="1:11" x14ac:dyDescent="0.25">
      <c r="A11" s="16" t="s">
        <v>53</v>
      </c>
      <c r="B11" s="11">
        <f>_xlfn.NORM.S.DIST(-2.8,TRUE)</f>
        <v>0.002555130321896927</v>
      </c>
      <c r="C11" s="11">
        <f>_xlfn.NORM.S.DIST(-2.81,TRUE)</f>
        <v>0.0024770749949835197</v>
      </c>
      <c r="D11" s="11">
        <f>_xlfn.NORM.S.DIST(-2.82,TRUE)</f>
        <v>0.002401182474819184</v>
      </c>
      <c r="E11" s="11">
        <f>_xlfn.NORM.S.DIST(-2.83,TRUE)</f>
        <v>0.0023274002115088485</v>
      </c>
      <c r="F11" s="11">
        <f>_xlfn.NORM.S.DIST(-2.84,TRUE)</f>
        <v>0.0022556767001933203</v>
      </c>
      <c r="G11" s="11">
        <f>_xlfn.NORM.S.DIST(-2.85,TRUE)</f>
        <v>0.0021859614671752865</v>
      </c>
      <c r="H11" s="11">
        <f>_xlfn.NORM.S.DIST(-2.86,TRUE)</f>
        <v>0.0021182050560258226</v>
      </c>
      <c r="I11" s="11">
        <f>_xlfn.NORM.S.DIST(-2.87,TRUE)</f>
        <v>0.002052359013678735</v>
      </c>
      <c r="J11" s="11">
        <f>_xlfn.NORM.S.DIST(-2.88,TRUE)</f>
        <v>0.001988375876519975</v>
      </c>
      <c r="K11" s="11">
        <f>_xlfn.NORM.S.DIST(-2.89,TRUE)</f>
        <v>0.0019262091564790748</v>
      </c>
    </row>
    <row r="12" spans="1:11" x14ac:dyDescent="0.25">
      <c r="A12" s="16" t="s">
        <v>54</v>
      </c>
      <c r="B12" s="11">
        <f>_xlfn.NORM.S.DIST(-2.7,TRUE)</f>
        <v>0.0034669737282437977</v>
      </c>
      <c r="C12" s="11">
        <f>_xlfn.NORM.S.DIST(-2.71,TRUE)</f>
        <v>0.0033641603402421254</v>
      </c>
      <c r="D12" s="11">
        <f>_xlfn.NORM.S.DIST(-2.72,TRUE)</f>
        <v>0.0032640957574118245</v>
      </c>
      <c r="E12" s="11">
        <f>_xlfn.NORM.S.DIST(-2.73,TRUE)</f>
        <v>0.003166716226416992</v>
      </c>
      <c r="F12" s="11">
        <f>_xlfn.NORM.S.DIST(-2.74,TRUE)</f>
        <v>0.003071959174852656</v>
      </c>
      <c r="G12" s="11">
        <f>_xlfn.NORM.S.DIST(-2.75,TRUE)</f>
        <v>0.0029797631980170275</v>
      </c>
      <c r="H12" s="11">
        <f>_xlfn.NORM.S.DIST(-2.76,TRUE)</f>
        <v>0.00289006804557915</v>
      </c>
      <c r="I12" s="11">
        <f>_xlfn.NORM.S.DIST(-2.77,TRUE)</f>
        <v>0.0028028146081515055</v>
      </c>
      <c r="J12" s="11">
        <f>_xlfn.NORM.S.DIST(-2.78,TRUE)</f>
        <v>0.0027179449037766984</v>
      </c>
      <c r="K12" s="11">
        <f>_xlfn.NORM.S.DIST(-2.79,TRUE)</f>
        <v>0.002635402064337182</v>
      </c>
    </row>
    <row r="13" spans="1:11" x14ac:dyDescent="0.25">
      <c r="A13" s="16" t="s">
        <v>55</v>
      </c>
      <c r="B13" s="11">
        <f>_xlfn.NORM.S.DIST(-2.6,TRUE)</f>
        <v>0.004661187839020148</v>
      </c>
      <c r="C13" s="11">
        <f>_xlfn.NORM.S.DIST(-2.61,TRUE)</f>
        <v>0.004527110961606948</v>
      </c>
      <c r="D13" s="11">
        <f>_xlfn.NORM.S.DIST(-2.62,TRUE)</f>
        <v>0.004396488189541261</v>
      </c>
      <c r="E13" s="11">
        <f>_xlfn.NORM.S.DIST(-2.63,TRUE)</f>
        <v>0.004269243262745148</v>
      </c>
      <c r="F13" s="11">
        <f>_xlfn.NORM.S.DIST(-2.64,TRUE)</f>
        <v>0.004145301226396714</v>
      </c>
      <c r="G13" s="11">
        <f>_xlfn.NORM.S.DIST(-2.65,TRUE)</f>
        <v>0.004024588419306497</v>
      </c>
      <c r="H13" s="11">
        <f>_xlfn.NORM.S.DIST(-2.66,TRUE)</f>
        <v>0.003907032462084762</v>
      </c>
      <c r="I13" s="11">
        <f>_xlfn.NORM.S.DIST(-2.67,TRUE)</f>
        <v>0.0037925622451112136</v>
      </c>
      <c r="J13" s="11">
        <f>_xlfn.NORM.S.DIST(-2.68,TRUE)</f>
        <v>0.003681107916318059</v>
      </c>
      <c r="K13" s="11">
        <f>_xlfn.NORM.S.DIST(-2.69,TRUE)</f>
        <v>0.003572600868797423</v>
      </c>
    </row>
    <row r="14" spans="1:11" x14ac:dyDescent="0.25">
      <c r="A14" s="16" t="s">
        <v>56</v>
      </c>
      <c r="B14" s="11">
        <f>_xlfn.NORM.S.DIST(-2.5,TRUE)</f>
        <v>0.006209664974209641</v>
      </c>
      <c r="C14" s="11">
        <f>_xlfn.NORM.S.DIST(-2.51,TRUE)</f>
        <v>0.006036557748451271</v>
      </c>
      <c r="D14" s="11">
        <f>_xlfn.NORM.S.DIST(-2.52,TRUE)</f>
        <v>0.005867741402298333</v>
      </c>
      <c r="E14" s="11">
        <f>_xlfn.NORM.S.DIST(-2.53,TRUE)</f>
        <v>0.005703126038175925</v>
      </c>
      <c r="F14" s="11">
        <f>_xlfn.NORM.S.DIST(-2.54,TRUE)</f>
        <v>0.005542623165910321</v>
      </c>
      <c r="G14" s="11">
        <f>_xlfn.NORM.S.DIST(-2.55,TRUE)</f>
        <v>0.005386145693851152</v>
      </c>
      <c r="H14" s="11">
        <f>_xlfn.NORM.S.DIST(-2.56,TRUE)</f>
        <v>0.005233607919662881</v>
      </c>
      <c r="I14" s="11">
        <f>_xlfn.NORM.S.DIST(-2.57,TRUE)</f>
        <v>0.005084925520798666</v>
      </c>
      <c r="J14" s="11">
        <f>_xlfn.NORM.S.DIST(-2.58,TRUE)</f>
        <v>0.0049400155446690285</v>
      </c>
      <c r="K14" s="11">
        <f>_xlfn.NORM.S.DIST(-2.59,TRUE)</f>
        <v>0.004798796398518203</v>
      </c>
    </row>
    <row r="15" spans="1:11" x14ac:dyDescent="0.25">
      <c r="A15" s="16" t="s">
        <v>57</v>
      </c>
      <c r="B15" s="11">
        <f>_xlfn.NORM.S.DIST(-2.4,TRUE)</f>
        <v>0.008197535337921778</v>
      </c>
      <c r="C15" s="11">
        <f>_xlfn.NORM.S.DIST(-2.41,TRUE)</f>
        <v>0.007976259700852835</v>
      </c>
      <c r="D15" s="11">
        <f>_xlfn.NORM.S.DIST(-2.42,TRUE)</f>
        <v>0.00776025301672689</v>
      </c>
      <c r="E15" s="11">
        <f>_xlfn.NORM.S.DIST(-2.43,TRUE)</f>
        <v>0.0075494109077991174</v>
      </c>
      <c r="F15" s="11">
        <f>_xlfn.NORM.S.DIST(-2.44,TRUE)</f>
        <v>0.007343630471420447</v>
      </c>
      <c r="G15" s="11">
        <f>_xlfn.NORM.S.DIST(-2.45,TRUE)</f>
        <v>0.00714281027519527</v>
      </c>
      <c r="H15" s="11">
        <f>_xlfn.NORM.S.DIST(-2.46,TRUE)</f>
        <v>0.006946850351674532</v>
      </c>
      <c r="I15" s="11">
        <f>_xlfn.NORM.S.DIST(-2.47,TRUE)</f>
        <v>0.006755652192597795</v>
      </c>
      <c r="J15" s="11">
        <f>_xlfn.NORM.S.DIST(-2.48,TRUE)</f>
        <v>0.006569118742698233</v>
      </c>
      <c r="K15" s="11">
        <f>_xlfn.NORM.S.DIST(-2.49,TRUE)</f>
        <v>0.006387154393083978</v>
      </c>
    </row>
    <row r="16" spans="1:11" x14ac:dyDescent="0.25">
      <c r="A16" s="16" t="s">
        <v>58</v>
      </c>
      <c r="B16" s="11">
        <f>_xlfn.NORM.S.DIST(-2.3,TRUE)</f>
        <v>0.010724109126952467</v>
      </c>
      <c r="C16" s="11">
        <f>_xlfn.NORM.S.DIST(-2.31,TRUE)</f>
        <v>0.01044407620121421</v>
      </c>
      <c r="D16" s="11">
        <f>_xlfn.NORM.S.DIST(-2.32,TRUE)</f>
        <v>0.010170437841290292</v>
      </c>
      <c r="E16" s="11">
        <f>_xlfn.NORM.S.DIST(-2.33,TRUE)</f>
        <v>0.009903074764349656</v>
      </c>
      <c r="F16" s="11">
        <f>_xlfn.NORM.S.DIST(-2.34,TRUE)</f>
        <v>0.009641869182454054</v>
      </c>
      <c r="G16" s="11">
        <f>_xlfn.NORM.S.DIST(-2.35,TRUE)</f>
        <v>0.009386704803130195</v>
      </c>
      <c r="H16" s="11">
        <f>_xlfn.NORM.S.DIST(-2.36,TRUE)</f>
        <v>0.00913746682933761</v>
      </c>
      <c r="I16" s="11">
        <f>_xlfn.NORM.S.DIST(-2.37,TRUE)</f>
        <v>0.00889404195884593</v>
      </c>
      <c r="J16" s="11">
        <f>_xlfn.NORM.S.DIST(-2.38,TRUE)</f>
        <v>0.008656318383035926</v>
      </c>
      <c r="K16" s="11">
        <f>_xlfn.NORM.S.DIST(-2.39,TRUE)</f>
        <v>0.008424185785137884</v>
      </c>
    </row>
    <row r="17" spans="1:11" x14ac:dyDescent="0.25">
      <c r="A17" s="16" t="s">
        <v>59</v>
      </c>
      <c r="B17" s="11">
        <f>_xlfn.NORM.S.DIST(-2.2,TRUE)</f>
        <v>0.013903446246145259</v>
      </c>
      <c r="C17" s="11">
        <f>_xlfn.NORM.S.DIST(-2.21,TRUE)</f>
        <v>0.013552579918599147</v>
      </c>
      <c r="D17" s="11">
        <f>_xlfn.NORM.S.DIST(-2.22,TRUE)</f>
        <v>0.013209382618552232</v>
      </c>
      <c r="E17" s="11">
        <f>_xlfn.NORM.S.DIST(-2.23,TRUE)</f>
        <v>0.012873720288561064</v>
      </c>
      <c r="F17" s="11">
        <f>_xlfn.NORM.S.DIST(-2.24,TRUE)</f>
        <v>0.012545460324079794</v>
      </c>
      <c r="G17" s="11">
        <f>_xlfn.NORM.S.DIST(-2.25,TRUE)</f>
        <v>0.012224471580830796</v>
      </c>
      <c r="H17" s="11">
        <f>_xlfn.NORM.S.DIST(-2.26,TRUE)</f>
        <v>0.011910624381434932</v>
      </c>
      <c r="I17" s="11">
        <f>_xlfn.NORM.S.DIST(-2.27,TRUE)</f>
        <v>0.011603790521314881</v>
      </c>
      <c r="J17" s="11">
        <f>_xlfn.NORM.S.DIST(-2.28,TRUE)</f>
        <v>0.011303843273884614</v>
      </c>
      <c r="K17" s="11">
        <f>_xlfn.NORM.S.DIST(-2.29,TRUE)</f>
        <v>0.011010657395038322</v>
      </c>
    </row>
    <row r="18" spans="1:11" x14ac:dyDescent="0.25">
      <c r="A18" s="16" t="s">
        <v>60</v>
      </c>
      <c r="B18" s="11">
        <f>_xlfn.NORM.S.DIST(-2.1,TRUE)</f>
        <v>0.01786441888784537</v>
      </c>
      <c r="C18" s="11">
        <f>_xlfn.NORM.S.DIST(-2.11,TRUE)</f>
        <v>0.017429176303597162</v>
      </c>
      <c r="D18" s="11">
        <f>_xlfn.NORM.S.DIST(-2.12,TRUE)</f>
        <v>0.017003021054623813</v>
      </c>
      <c r="E18" s="11">
        <f>_xlfn.NORM.S.DIST(-2.13,TRUE)</f>
        <v>0.01658580513171557</v>
      </c>
      <c r="F18" s="11">
        <f>_xlfn.NORM.S.DIST(-2.14,TRUE)</f>
        <v>0.01617738186139737</v>
      </c>
      <c r="G18" s="11">
        <f>_xlfn.NORM.S.DIST(-2.15,TRUE)</f>
        <v>0.01577760592137986</v>
      </c>
      <c r="H18" s="11">
        <f>_xlfn.NORM.S.DIST(-2.16,TRUE)</f>
        <v>0.01538633335514988</v>
      </c>
      <c r="I18" s="11">
        <f>_xlfn.NORM.S.DIST(-2.17,TRUE)</f>
        <v>0.015003421585711819</v>
      </c>
      <c r="J18" s="11">
        <f>_xlfn.NORM.S.DIST(-2.18,TRUE)</f>
        <v>0.014628729428490613</v>
      </c>
      <c r="K18" s="11">
        <f>_xlfn.NORM.S.DIST(-2.19,TRUE)</f>
        <v>0.014262117103408275</v>
      </c>
    </row>
    <row r="19" spans="1:11" x14ac:dyDescent="0.25">
      <c r="A19" s="16" t="s">
        <v>61</v>
      </c>
      <c r="B19" s="11">
        <f>_xlfn.NORM.S.DIST(-2,TRUE)</f>
        <v>0.022750129890124482</v>
      </c>
      <c r="C19" s="11">
        <f>_xlfn.NORM.S.DIST(-2.01,TRUE)</f>
        <v>0.02221559240614412</v>
      </c>
      <c r="D19" s="11">
        <f>_xlfn.NORM.S.DIST(-2.02,TRUE)</f>
        <v>0.021691691780188208</v>
      </c>
      <c r="E19" s="11">
        <f>_xlfn.NORM.S.DIST(-2.03,TRUE)</f>
        <v>0.02117826769199406</v>
      </c>
      <c r="F19" s="11">
        <f>_xlfn.NORM.S.DIST(-2.04,TRUE)</f>
        <v>0.02067516095301779</v>
      </c>
      <c r="G19" s="11">
        <f>_xlfn.NORM.S.DIST(-2.05,TRUE)</f>
        <v>0.02018221353102177</v>
      </c>
      <c r="H19" s="11">
        <f>_xlfn.NORM.S.DIST(-2.06,TRUE)</f>
        <v>0.01969926857370959</v>
      </c>
      <c r="I19" s="11">
        <f>_xlfn.NORM.S.DIST(-2.07,TRUE)</f>
        <v>0.01922617043141694</v>
      </c>
      <c r="J19" s="11">
        <f>_xlfn.NORM.S.DIST(-2.08,TRUE)</f>
        <v>0.018762764678865892</v>
      </c>
      <c r="K19" s="11">
        <f>_xlfn.NORM.S.DIST(-2.09,TRUE)</f>
        <v>0.018308898135990948</v>
      </c>
    </row>
    <row r="20" spans="1:11" x14ac:dyDescent="0.25">
      <c r="A20" s="16" t="s">
        <v>62</v>
      </c>
      <c r="B20" s="11">
        <f>_xlfn.NORM.S.DIST(-1.9,TRUE)</f>
        <v>0.028716557495600387</v>
      </c>
      <c r="C20" s="11">
        <f>_xlfn.NORM.S.DIST(-1.91,TRUE)</f>
        <v>0.02806660435663305</v>
      </c>
      <c r="D20" s="11">
        <f>_xlfn.NORM.S.DIST(-1.92,TRUE)</f>
        <v>0.02742894742032864</v>
      </c>
      <c r="E20" s="11">
        <f>_xlfn.NORM.S.DIST(-1.93,TRUE)</f>
        <v>0.02680341661540074</v>
      </c>
      <c r="F20" s="11">
        <f>_xlfn.NORM.S.DIST(-1.94,TRUE)</f>
        <v>0.026189842702731572</v>
      </c>
      <c r="G20" s="11">
        <f>_xlfn.NORM.S.DIST(-1.95,TRUE)</f>
        <v>0.025588057309789664</v>
      </c>
      <c r="H20" s="11">
        <f>_xlfn.NORM.S.DIST(-1.96,TRUE)</f>
        <v>0.02499789296404612</v>
      </c>
      <c r="I20" s="11">
        <f>_xlfn.NORM.S.DIST(-1.97,TRUE)</f>
        <v>0.02441918312539235</v>
      </c>
      <c r="J20" s="11">
        <f>_xlfn.NORM.S.DIST(-1.98,TRUE)</f>
        <v>0.023851762217562654</v>
      </c>
      <c r="K20" s="11">
        <f>_xlfn.NORM.S.DIST(-1.99,TRUE)</f>
        <v>0.02329546565856501</v>
      </c>
    </row>
    <row r="21" spans="1:11" x14ac:dyDescent="0.25">
      <c r="A21" s="16" t="s">
        <v>63</v>
      </c>
      <c r="B21" s="11">
        <f>_xlfn.NORM.S.DIST(-1.8,TRUE)</f>
        <v>0.03593031678444762</v>
      </c>
      <c r="C21" s="11">
        <f>_xlfn.NORM.S.DIST(-1.81,TRUE)</f>
        <v>0.03514789124048233</v>
      </c>
      <c r="D21" s="11">
        <f>_xlfn.NORM.S.DIST(-1.82,TRUE)</f>
        <v>0.03437950009122611</v>
      </c>
      <c r="E21" s="11">
        <f>_xlfn.NORM.S.DIST(-1.83,TRUE)</f>
        <v>0.03362496705766063</v>
      </c>
      <c r="F21" s="11">
        <f>_xlfn.NORM.S.DIST(-1.84,TRUE)</f>
        <v>0.03288411629352945</v>
      </c>
      <c r="G21" s="11">
        <f>_xlfn.NORM.S.DIST(-1.85,TRUE)</f>
        <v>0.03215677242978425</v>
      </c>
      <c r="H21" s="11">
        <f>_xlfn.NORM.S.DIST(-1.86,TRUE)</f>
        <v>0.031442760618035956</v>
      </c>
      <c r="I21" s="11">
        <f>_xlfn.NORM.S.DIST(-1.87,TRUE)</f>
        <v>0.030741906573007443</v>
      </c>
      <c r="J21" s="11">
        <f>_xlfn.NORM.S.DIST(-1.88,TRUE)</f>
        <v>0.0300540366139848</v>
      </c>
      <c r="K21" s="11">
        <f>_xlfn.NORM.S.DIST(-1.89,TRUE)</f>
        <v>0.029378977705265274</v>
      </c>
    </row>
    <row r="22" spans="1:11" x14ac:dyDescent="0.25">
      <c r="A22" s="16" t="s">
        <v>64</v>
      </c>
      <c r="B22" s="11">
        <f>_xlfn.NORM.S.DIST(-1.7,TRUE)</f>
        <v>0.044565460835759324</v>
      </c>
      <c r="C22" s="11">
        <f>_xlfn.NORM.S.DIST(-1.71,TRUE)</f>
        <v>0.04363293453739589</v>
      </c>
      <c r="D22" s="11">
        <f>_xlfn.NORM.S.DIST(-1.72,TRUE)</f>
        <v>0.042716218746430515</v>
      </c>
      <c r="E22" s="11">
        <f>_xlfn.NORM.S.DIST(-1.73,TRUE)</f>
        <v>0.041815135515874104</v>
      </c>
      <c r="F22" s="11">
        <f>_xlfn.NORM.S.DIST(-1.74,TRUE)</f>
        <v>0.04092950683355003</v>
      </c>
      <c r="G22" s="11">
        <f>_xlfn.NORM.S.DIST(-1.75,TRUE)</f>
        <v>0.040059154676151544</v>
      </c>
      <c r="H22" s="11">
        <f>_xlfn.NORM.S.DIST(-1.76,TRUE)</f>
        <v>0.03920390106237654</v>
      </c>
      <c r="I22" s="11">
        <f>_xlfn.NORM.S.DIST(-1.77,TRUE)</f>
        <v>0.03836356810512912</v>
      </c>
      <c r="J22" s="11">
        <f>_xlfn.NORM.S.DIST(-1.78,TRUE)</f>
        <v>0.0375379780627784</v>
      </c>
      <c r="K22" s="11">
        <f>_xlfn.NORM.S.DIST(-1.79,TRUE)</f>
        <v>0.03672695338946491</v>
      </c>
    </row>
    <row r="23" spans="1:11" x14ac:dyDescent="0.25">
      <c r="A23" s="16" t="s">
        <v>65</v>
      </c>
      <c r="B23" s="11">
        <f>_xlfn.NORM.S.DIST(-1.6,TRUE)</f>
        <v>0.05479929075131874</v>
      </c>
      <c r="C23" s="11">
        <f>_xlfn.NORM.S.DIST(-1.61,TRUE)</f>
        <v>0.0536989270733135</v>
      </c>
      <c r="D23" s="11">
        <f>_xlfn.NORM.S.DIST(-1.62,TRUE)</f>
        <v>0.05261613725957875</v>
      </c>
      <c r="E23" s="11">
        <f>_xlfn.NORM.S.DIST(-1.63,TRUE)</f>
        <v>0.05155074718218166</v>
      </c>
      <c r="F23" s="11">
        <f>_xlfn.NORM.S.DIST(-1.64,TRUE)</f>
        <v>0.05050258205951497</v>
      </c>
      <c r="G23" s="11">
        <f>_xlfn.NORM.S.DIST(-1.65,TRUE)</f>
        <v>0.04947146651884131</v>
      </c>
      <c r="H23" s="11">
        <f>_xlfn.NORM.S.DIST(-1.66,TRUE)</f>
        <v>0.04845722465806038</v>
      </c>
      <c r="I23" s="11">
        <f>_xlfn.NORM.S.DIST(-1.67,TRUE)</f>
        <v>0.0474596801066817</v>
      </c>
      <c r="J23" s="11">
        <f>_xlfn.NORM.S.DIST(-1.68,TRUE)</f>
        <v>0.04647865608598518</v>
      </c>
      <c r="K23" s="11">
        <f>_xlfn.NORM.S.DIST(-1.69,TRUE)</f>
        <v>0.04551397546835331</v>
      </c>
    </row>
    <row r="24" spans="1:11" x14ac:dyDescent="0.25">
      <c r="A24" s="16" t="s">
        <v>66</v>
      </c>
      <c r="B24" s="11">
        <f>_xlfn.NORM.S.DIST(-1.5,TRUE)</f>
        <v>0.06680720195906448</v>
      </c>
      <c r="C24" s="11">
        <f>_xlfn.NORM.S.DIST(-1.51,TRUE)</f>
        <v>0.06552171258519242</v>
      </c>
      <c r="D24" s="11">
        <f>_xlfn.NORM.S.DIST(-1.52,TRUE)</f>
        <v>0.06425548812777837</v>
      </c>
      <c r="E24" s="11">
        <f>_xlfn.NORM.S.DIST(-1.53,TRUE)</f>
        <v>0.06300836459199194</v>
      </c>
      <c r="F24" s="11">
        <f>_xlfn.NORM.S.DIST(-1.54,TRUE)</f>
        <v>0.06178017666568581</v>
      </c>
      <c r="G24" s="11">
        <f>_xlfn.NORM.S.DIST(-1.55,TRUE)</f>
        <v>0.06057075778854689</v>
      </c>
      <c r="H24" s="11">
        <f>_xlfn.NORM.S.DIST(-1.56,TRUE)</f>
        <v>0.05937994022069245</v>
      </c>
      <c r="I24" s="11">
        <f>_xlfn.NORM.S.DIST(-1.57,TRUE)</f>
        <v>0.058207555110686635</v>
      </c>
      <c r="J24" s="11">
        <f>_xlfn.NORM.S.DIST(-1.58,TRUE)</f>
        <v>0.057053432562951874</v>
      </c>
      <c r="K24" s="11">
        <f>_xlfn.NORM.S.DIST(-1.59,TRUE)</f>
        <v>0.05591740170455135</v>
      </c>
    </row>
    <row r="25" spans="1:11" x14ac:dyDescent="0.25">
      <c r="A25" s="16" t="s">
        <v>67</v>
      </c>
      <c r="B25" s="11">
        <f>_xlfn.NORM.S.DIST(-1.4,TRUE)</f>
        <v>0.08075666217906181</v>
      </c>
      <c r="C25" s="11">
        <f>_xlfn.NORM.S.DIST(-1.41,TRUE)</f>
        <v>0.07926984415131114</v>
      </c>
      <c r="D25" s="11">
        <f>_xlfn.NORM.S.DIST(-1.42,TRUE)</f>
        <v>0.07780384298106754</v>
      </c>
      <c r="E25" s="11">
        <f>_xlfn.NORM.S.DIST(-1.43,TRUE)</f>
        <v>0.07635851175222329</v>
      </c>
      <c r="F25" s="11">
        <f>_xlfn.NORM.S.DIST(-1.44,TRUE)</f>
        <v>0.07493370151548866</v>
      </c>
      <c r="G25" s="11">
        <f>_xlfn.NORM.S.DIST(-1.45,TRUE)</f>
        <v>0.07352926136152417</v>
      </c>
      <c r="H25" s="11">
        <f>_xlfn.NORM.S.DIST(-1.46,TRUE)</f>
        <v>0.07214503849381257</v>
      </c>
      <c r="I25" s="11">
        <f>_xlfn.NORM.S.DIST(-1.47,TRUE)</f>
        <v>0.07078087830123855</v>
      </c>
      <c r="J25" s="11">
        <f>_xlfn.NORM.S.DIST(-1.48,TRUE)</f>
        <v>0.06943662443034405</v>
      </c>
      <c r="K25" s="11">
        <f>_xlfn.NORM.S.DIST(-1.49,TRUE)</f>
        <v>0.06811211885722891</v>
      </c>
    </row>
    <row r="26" spans="1:11" x14ac:dyDescent="0.25">
      <c r="A26" s="16" t="s">
        <v>68</v>
      </c>
      <c r="B26" s="11">
        <f>_xlfn.NORM.S.DIST(-1.3,TRUE)</f>
        <v>0.09680049011365802</v>
      </c>
      <c r="C26" s="11">
        <f>_xlfn.NORM.S.DIST(-1.31,TRUE)</f>
        <v>0.09509792306503999</v>
      </c>
      <c r="D26" s="11">
        <f>_xlfn.NORM.S.DIST(-1.32,TRUE)</f>
        <v>0.09341751400320772</v>
      </c>
      <c r="E26" s="11">
        <f>_xlfn.NORM.S.DIST(-1.33,TRUE)</f>
        <v>0.09175914039887814</v>
      </c>
      <c r="F26" s="11">
        <f>_xlfn.NORM.S.DIST(-1.34,TRUE)</f>
        <v>0.09012267695154473</v>
      </c>
      <c r="G26" s="11">
        <f>_xlfn.NORM.S.DIST(-1.35,TRUE)</f>
        <v>0.0885079956632926</v>
      </c>
      <c r="H26" s="11">
        <f>_xlfn.NORM.S.DIST(-1.36,TRUE)</f>
        <v>0.0869149659127098</v>
      </c>
      <c r="I26" s="11">
        <f>_xlfn.NORM.S.DIST(-1.37,TRUE)</f>
        <v>0.08534345452885753</v>
      </c>
      <c r="J26" s="11">
        <f>_xlfn.NORM.S.DIST(-1.38,TRUE)</f>
        <v>0.08379332586526157</v>
      </c>
      <c r="K26" s="11">
        <f>_xlfn.NORM.S.DIST(-1.39,TRUE)</f>
        <v>0.08226444187388696</v>
      </c>
    </row>
    <row r="27" spans="1:11" x14ac:dyDescent="0.25">
      <c r="A27" s="16" t="s">
        <v>69</v>
      </c>
      <c r="B27" s="11">
        <f>_xlfn.NORM.S.DIST(-1.2,TRUE)</f>
        <v>0.11506967804213965</v>
      </c>
      <c r="C27" s="11">
        <f>_xlfn.NORM.S.DIST(-1.21,TRUE)</f>
        <v>0.11313945407331602</v>
      </c>
      <c r="D27" s="11">
        <f>_xlfn.NORM.S.DIST(-1.22,TRUE)</f>
        <v>0.11123244487484231</v>
      </c>
      <c r="E27" s="11">
        <f>_xlfn.NORM.S.DIST(-1.23,TRUE)</f>
        <v>0.10934855964022044</v>
      </c>
      <c r="F27" s="11">
        <f>_xlfn.NORM.S.DIST(-1.24,TRUE)</f>
        <v>0.10748770406754886</v>
      </c>
      <c r="G27" s="11">
        <f>_xlfn.NORM.S.DIST(-1.25,TRUE)</f>
        <v>0.10564978043019298</v>
      </c>
      <c r="H27" s="11">
        <f>_xlfn.NORM.S.DIST(-1.26,TRUE)</f>
        <v>0.10383468764795346</v>
      </c>
      <c r="I27" s="11">
        <f>_xlfn.NORM.S.DIST(-1.27,TRUE)</f>
        <v>0.1020423213586903</v>
      </c>
      <c r="J27" s="11">
        <f>_xlfn.NORM.S.DIST(-1.28,TRUE)</f>
        <v>0.10027257399036268</v>
      </c>
      <c r="K27" s="11">
        <f>_xlfn.NORM.S.DIST(-1.29,TRUE)</f>
        <v>0.09852533483344184</v>
      </c>
    </row>
    <row r="28" spans="1:11" x14ac:dyDescent="0.25">
      <c r="A28" s="16" t="s">
        <v>70</v>
      </c>
      <c r="B28" s="11">
        <f>_xlfn.NORM.S.DIST(-1.1,TRUE)</f>
        <v>0.13566606980349688</v>
      </c>
      <c r="C28" s="11">
        <f>_xlfn.NORM.S.DIST(-1.11,TRUE)</f>
        <v>0.13349952208583266</v>
      </c>
      <c r="D28" s="11">
        <f>_xlfn.NORM.S.DIST(-1.12,TRUE)</f>
        <v>0.13135688984859592</v>
      </c>
      <c r="E28" s="11">
        <f>_xlfn.NORM.S.DIST(-1.13,TRUE)</f>
        <v>0.12923812098670212</v>
      </c>
      <c r="F28" s="11">
        <f>_xlfn.NORM.S.DIST(-1.14,TRUE)</f>
        <v>0.12714315922957478</v>
      </c>
      <c r="G28" s="11">
        <f>_xlfn.NORM.S.DIST(-1.15,TRUE)</f>
        <v>0.12507194420452436</v>
      </c>
      <c r="H28" s="11">
        <f>_xlfn.NORM.S.DIST(-1.16,TRUE)</f>
        <v>0.12302441150104639</v>
      </c>
      <c r="I28" s="11">
        <f>_xlfn.NORM.S.DIST(-1.17,TRUE)</f>
        <v>0.1210004927359977</v>
      </c>
      <c r="J28" s="11">
        <f>_xlfn.NORM.S.DIST(-1.18,TRUE)</f>
        <v>0.11900011561960663</v>
      </c>
      <c r="K28" s="11">
        <f>_xlfn.NORM.S.DIST(-1.19,TRUE)</f>
        <v>0.11702320402227684</v>
      </c>
    </row>
    <row r="29" spans="1:11" x14ac:dyDescent="0.25">
      <c r="A29" s="16" t="s">
        <v>71</v>
      </c>
      <c r="B29" s="11">
        <f>_xlfn.NORM.S.DIST(-1,TRUE)</f>
        <v>0.15865526139567465</v>
      </c>
      <c r="C29" s="11">
        <f>_xlfn.NORM.S.DIST(-1.01,TRUE)</f>
        <v>0.1562476527663905</v>
      </c>
      <c r="D29" s="11">
        <f>_xlfn.NORM.S.DIST(-1.02,TRUE)</f>
        <v>0.15386423836472288</v>
      </c>
      <c r="E29" s="11">
        <f>_xlfn.NORM.S.DIST(-1.03,TRUE)</f>
        <v>0.1515050109939861</v>
      </c>
      <c r="F29" s="11">
        <f>_xlfn.NORM.S.DIST(-1.04,TRUE)</f>
        <v>0.14916995871801783</v>
      </c>
      <c r="G29" s="11">
        <f>_xlfn.NORM.S.DIST(-1.05,TRUE)</f>
        <v>0.14685906491306422</v>
      </c>
      <c r="H29" s="11">
        <f>_xlfn.NORM.S.DIST(-1.06,TRUE)</f>
        <v>0.14457230832099835</v>
      </c>
      <c r="I29" s="11">
        <f>_xlfn.NORM.S.DIST(-1.07,TRUE)</f>
        <v>0.14230966310383344</v>
      </c>
      <c r="J29" s="11">
        <f>_xlfn.NORM.S.DIST(-1.08,TRUE)</f>
        <v>0.140071098899488</v>
      </c>
      <c r="K29" s="11">
        <f>_xlfn.NORM.S.DIST(-1.09,TRUE)</f>
        <v>0.13785658087876418</v>
      </c>
    </row>
    <row r="30" spans="1:11" x14ac:dyDescent="0.25">
      <c r="A30" s="16" t="s">
        <v>72</v>
      </c>
      <c r="B30" s="11">
        <f>_xlfn.NORM.S.DIST(-0.9,TRUE)</f>
        <v>0.18406012800434837</v>
      </c>
      <c r="C30" s="11">
        <f>_xlfn.NORM.S.DIST(-0.91,TRUE)</f>
        <v>0.18141125819708628</v>
      </c>
      <c r="D30" s="11">
        <f>_xlfn.NORM.S.DIST(-0.92,TRUE)</f>
        <v>0.17878638353042264</v>
      </c>
      <c r="E30" s="11">
        <f>_xlfn.NORM.S.DIST(-0.93,TRUE)</f>
        <v>0.1761855467347958</v>
      </c>
      <c r="F30" s="11">
        <f>_xlfn.NORM.S.DIST(-0.94,TRUE)</f>
        <v>0.17360878536420377</v>
      </c>
      <c r="G30" s="11">
        <f>_xlfn.NORM.S.DIST(-0.95,TRUE)</f>
        <v>0.17105613183264176</v>
      </c>
      <c r="H30" s="11">
        <f>_xlfn.NORM.S.DIST(-0.96,TRUE)</f>
        <v>0.16852761345224798</v>
      </c>
      <c r="I30" s="11">
        <f>_xlfn.NORM.S.DIST(-0.97,TRUE)</f>
        <v>0.16602325247312463</v>
      </c>
      <c r="J30" s="11">
        <f>_xlfn.NORM.S.DIST(-0.98,TRUE)</f>
        <v>0.1635430661247966</v>
      </c>
      <c r="K30" s="11">
        <f>_xlfn.NORM.S.DIST(-0.99,TRUE)</f>
        <v>0.1610870666592729</v>
      </c>
    </row>
    <row r="31" spans="1:11" x14ac:dyDescent="0.25">
      <c r="A31" s="16" t="s">
        <v>73</v>
      </c>
      <c r="B31" s="11">
        <f>_xlfn.NORM.S.DIST(-0.8,TRUE)</f>
        <v>0.21185539294611463</v>
      </c>
      <c r="C31" s="11">
        <f>_xlfn.NORM.S.DIST(-0.81,TRUE)</f>
        <v>0.20897008318892696</v>
      </c>
      <c r="D31" s="11">
        <f>_xlfn.NORM.S.DIST(-0.82,TRUE)</f>
        <v>0.2061080498355665</v>
      </c>
      <c r="E31" s="11">
        <f>_xlfn.NORM.S.DIST(-0.83,TRUE)</f>
        <v>0.20326938898552074</v>
      </c>
      <c r="F31" s="11">
        <f>_xlfn.NORM.S.DIST(-0.84,TRUE)</f>
        <v>0.20045419129858327</v>
      </c>
      <c r="G31" s="11">
        <f>_xlfn.NORM.S.DIST(-0.85,TRUE)</f>
        <v>0.19766254201245473</v>
      </c>
      <c r="H31" s="11">
        <f>_xlfn.NORM.S.DIST(-0.86,TRUE)</f>
        <v>0.19489452096235732</v>
      </c>
      <c r="I31" s="11">
        <f>_xlfn.NORM.S.DIST(-0.87,TRUE)</f>
        <v>0.19215020260263777</v>
      </c>
      <c r="J31" s="11">
        <f>_xlfn.NORM.S.DIST(-0.88,TRUE)</f>
        <v>0.1894296560303276</v>
      </c>
      <c r="K31" s="11">
        <f>_xlfn.NORM.S.DIST(-0.89,TRUE)</f>
        <v>0.18673294501063678</v>
      </c>
    </row>
    <row r="32" spans="1:11" x14ac:dyDescent="0.25">
      <c r="A32" s="16" t="s">
        <v>74</v>
      </c>
      <c r="B32" s="11">
        <f>_xlfn.NORM.S.DIST(-0.7,TRUE)</f>
        <v>0.24196363657667894</v>
      </c>
      <c r="C32" s="11">
        <f>_xlfn.NORM.S.DIST(-0.71,TRUE)</f>
        <v>0.23885205341932758</v>
      </c>
      <c r="D32" s="11">
        <f>_xlfn.NORM.S.DIST(-0.72,TRUE)</f>
        <v>0.2357624841027813</v>
      </c>
      <c r="E32" s="11">
        <f>_xlfn.NORM.S.DIST(-0.73,TRUE)</f>
        <v>0.23269507963178038</v>
      </c>
      <c r="F32" s="11">
        <f>_xlfn.NORM.S.DIST(-0.74,TRUE)</f>
        <v>0.22964998551115856</v>
      </c>
      <c r="G32" s="11">
        <f>_xlfn.NORM.S.DIST(-0.75,TRUE)</f>
        <v>0.2266273417420898</v>
      </c>
      <c r="H32" s="11">
        <f>_xlfn.NORM.S.DIST(-0.76,TRUE)</f>
        <v>0.22362728282055483</v>
      </c>
      <c r="I32" s="11">
        <f>_xlfn.NORM.S.DIST(-0.77,TRUE)</f>
        <v>0.2206499377380096</v>
      </c>
      <c r="J32" s="11">
        <f>_xlfn.NORM.S.DIST(-0.78,TRUE)</f>
        <v>0.2176954299842397</v>
      </c>
      <c r="K32" s="11">
        <f>_xlfn.NORM.S.DIST(-0.79,TRUE)</f>
        <v>0.21476387755238546</v>
      </c>
    </row>
    <row r="33" spans="1:11" x14ac:dyDescent="0.25">
      <c r="A33" s="16" t="s">
        <v>75</v>
      </c>
      <c r="B33" s="11">
        <f>_xlfn.NORM.S.DIST(-0.6,TRUE)</f>
        <v>0.2742530946780009</v>
      </c>
      <c r="C33" s="11">
        <f>_xlfn.NORM.S.DIST(-0.61,TRUE)</f>
        <v>0.27093088116650776</v>
      </c>
      <c r="D33" s="11">
        <f>_xlfn.NORM.S.DIST(-0.62,TRUE)</f>
        <v>0.2676288713895083</v>
      </c>
      <c r="E33" s="11">
        <f>_xlfn.NORM.S.DIST(-0.63,TRUE)</f>
        <v>0.26434727064798647</v>
      </c>
      <c r="F33" s="11">
        <f>_xlfn.NORM.S.DIST(-0.64,TRUE)</f>
        <v>0.26108627890501046</v>
      </c>
      <c r="G33" s="11">
        <f>_xlfn.NORM.S.DIST(-0.65,TRUE)</f>
        <v>0.2578460907592361</v>
      </c>
      <c r="H33" s="11">
        <f>_xlfn.NORM.S.DIST(-0.66,TRUE)</f>
        <v>0.2546268954207101</v>
      </c>
      <c r="I33" s="11">
        <f>_xlfn.NORM.S.DIST(-0.67,TRUE)</f>
        <v>0.2514288766889734</v>
      </c>
      <c r="J33" s="11">
        <f>_xlfn.NORM.S.DIST(-0.68,TRUE)</f>
        <v>0.2482522129334579</v>
      </c>
      <c r="K33" s="11">
        <f>_xlfn.NORM.S.DIST(-0.69,TRUE)</f>
        <v>0.2450970770761736</v>
      </c>
    </row>
    <row r="34" spans="1:11" x14ac:dyDescent="0.25">
      <c r="A34" s="16" t="s">
        <v>76</v>
      </c>
      <c r="B34" s="11">
        <f>_xlfn.NORM.S.DIST(-0.5,TRUE)</f>
        <v>0.3085375169186018</v>
      </c>
      <c r="C34" s="11">
        <f>_xlfn.NORM.S.DIST(-0.51,TRUE)</f>
        <v>0.30502570841063625</v>
      </c>
      <c r="D34" s="11">
        <f>_xlfn.NORM.S.DIST(-0.52,TRUE)</f>
        <v>0.30153176451403074</v>
      </c>
      <c r="E34" s="11">
        <f>_xlfn.NORM.S.DIST(-0.53,TRUE)</f>
        <v>0.29805594194653606</v>
      </c>
      <c r="F34" s="11">
        <f>_xlfn.NORM.S.DIST(-0.54,TRUE)</f>
        <v>0.29459849247902453</v>
      </c>
      <c r="G34" s="11">
        <f>_xlfn.NORM.S.DIST(-0.55,TRUE)</f>
        <v>0.2911596628861585</v>
      </c>
      <c r="H34" s="11">
        <f>_xlfn.NORM.S.DIST(-0.56,TRUE)</f>
        <v>0.2877396948993106</v>
      </c>
      <c r="I34" s="11">
        <f>_xlfn.NORM.S.DIST(-0.57,TRUE)</f>
        <v>0.2843388251617406</v>
      </c>
      <c r="J34" s="11">
        <f>_xlfn.NORM.S.DIST(-0.58,TRUE)</f>
        <v>0.2809572851860457</v>
      </c>
      <c r="K34" s="11">
        <f>_xlfn.NORM.S.DIST(-0.59,TRUE)</f>
        <v>0.2775953013138866</v>
      </c>
    </row>
    <row r="35" spans="1:11" x14ac:dyDescent="0.25">
      <c r="A35" s="16" t="s">
        <v>77</v>
      </c>
      <c r="B35" s="11">
        <f>_xlfn.NORM.S.DIST(-0.4,TRUE)</f>
        <v>0.34457825055112584</v>
      </c>
      <c r="C35" s="11">
        <f>_xlfn.NORM.S.DIST(-0.41,TRUE)</f>
        <v>0.3409029640180683</v>
      </c>
      <c r="D35" s="11">
        <f>_xlfn.NORM.S.DIST(-0.42,TRUE)</f>
        <v>0.33724271527175076</v>
      </c>
      <c r="E35" s="11">
        <f>_xlfn.NORM.S.DIST(-0.43,TRUE)</f>
        <v>0.3335978073015345</v>
      </c>
      <c r="F35" s="11">
        <f>_xlfn.NORM.S.DIST(-0.44,TRUE)</f>
        <v>0.32996853876347193</v>
      </c>
      <c r="G35" s="11">
        <f>_xlfn.NORM.S.DIST(-0.45,TRUE)</f>
        <v>0.32635520390939227</v>
      </c>
      <c r="H35" s="11">
        <f>_xlfn.NORM.S.DIST(-0.46,TRUE)</f>
        <v>0.32275809251805276</v>
      </c>
      <c r="I35" s="11">
        <f>_xlfn.NORM.S.DIST(-0.47,TRUE)</f>
        <v>0.31917748982838096</v>
      </c>
      <c r="J35" s="11">
        <f>_xlfn.NORM.S.DIST(-0.48,TRUE)</f>
        <v>0.31561367647482924</v>
      </c>
      <c r="K35" s="11">
        <f>_xlfn.NORM.S.DIST(-0.49,TRUE)</f>
        <v>0.31206692842486283</v>
      </c>
    </row>
    <row r="36" spans="1:11" x14ac:dyDescent="0.25">
      <c r="A36" s="16" t="s">
        <v>78</v>
      </c>
      <c r="B36" s="11">
        <f>_xlfn.NORM.S.DIST(-0.3,TRUE)</f>
        <v>0.3820885902037655</v>
      </c>
      <c r="C36" s="11">
        <f>_xlfn.NORM.S.DIST(-0.31,TRUE)</f>
        <v>0.3782804888314801</v>
      </c>
      <c r="D36" s="11">
        <f>_xlfn.NORM.S.DIST(-0.32,TRUE)</f>
        <v>0.37448417404812856</v>
      </c>
      <c r="E36" s="11">
        <f>_xlfn.NORM.S.DIST(-0.33,TRUE)</f>
        <v>0.3706999878396157</v>
      </c>
      <c r="F36" s="11">
        <f>_xlfn.NORM.S.DIST(-0.34,TRUE)</f>
        <v>0.36692826867560335</v>
      </c>
      <c r="G36" s="11">
        <f>_xlfn.NORM.S.DIST(-0.35,TRUE)</f>
        <v>0.3631693514193958</v>
      </c>
      <c r="H36" s="11">
        <f>_xlfn.NORM.S.DIST(-0.36,TRUE)</f>
        <v>0.35942356723961455</v>
      </c>
      <c r="I36" s="11">
        <f>_xlfn.NORM.S.DIST(-0.37,TRUE)</f>
        <v>0.3556912435236954</v>
      </c>
      <c r="J36" s="11">
        <f>_xlfn.NORM.S.DIST(-0.38,TRUE)</f>
        <v>0.35197270379323387</v>
      </c>
      <c r="K36" s="11">
        <f>_xlfn.NORM.S.DIST(-0.39,TRUE)</f>
        <v>0.3482682676212107</v>
      </c>
    </row>
    <row r="37" spans="1:11" x14ac:dyDescent="0.25">
      <c r="A37" s="16" t="s">
        <v>79</v>
      </c>
      <c r="B37" s="11">
        <f>_xlfn.NORM.S.DIST(-0.2,TRUE)</f>
        <v>0.42074030433970533</v>
      </c>
      <c r="C37" s="11">
        <f>_xlfn.NORM.S.DIST(-0.21,TRUE)</f>
        <v>0.41683385200679435</v>
      </c>
      <c r="D37" s="11">
        <f>_xlfn.NORM.S.DIST(-0.22,TRUE)</f>
        <v>0.41293559405713953</v>
      </c>
      <c r="E37" s="11">
        <f>_xlfn.NORM.S.DIST(-0.23,TRUE)</f>
        <v>0.40904590230973964</v>
      </c>
      <c r="F37" s="11">
        <f>_xlfn.NORM.S.DIST(-0.24,TRUE)</f>
        <v>0.4051651460605995</v>
      </c>
      <c r="G37" s="11">
        <f>_xlfn.NORM.S.DIST(-0.25,TRUE)</f>
        <v>0.40129369197627707</v>
      </c>
      <c r="H37" s="11">
        <f>_xlfn.NORM.S.DIST(-0.26,TRUE)</f>
        <v>0.397431903988951</v>
      </c>
      <c r="I37" s="11">
        <f>_xlfn.NORM.S.DIST(-0.27,TRUE)</f>
        <v>0.39358014319302387</v>
      </c>
      <c r="J37" s="11">
        <f>_xlfn.NORM.S.DIST(-0.28,TRUE)</f>
        <v>0.38973876774329397</v>
      </c>
      <c r="K37" s="11">
        <f>_xlfn.NORM.S.DIST(-0.29,TRUE)</f>
        <v>0.38590813275471386</v>
      </c>
    </row>
    <row r="38" spans="1:11" x14ac:dyDescent="0.25">
      <c r="A38" s="16" t="s">
        <v>80</v>
      </c>
      <c r="B38" s="11">
        <f>_xlfn.NORM.S.DIST(-0.1,TRUE)</f>
        <v>0.4601721351551925</v>
      </c>
      <c r="C38" s="11">
        <f>_xlfn.NORM.S.DIST(-0.11,TRUE)</f>
        <v>0.4562046650203545</v>
      </c>
      <c r="D38" s="11">
        <f>_xlfn.NORM.S.DIST(-0.12,TRUE)</f>
        <v>0.4522415567886156</v>
      </c>
      <c r="E38" s="11">
        <f>_xlfn.NORM.S.DIST(-0.13,TRUE)</f>
        <v>0.44828320133018695</v>
      </c>
      <c r="F38" s="11">
        <f>_xlfn.NORM.S.DIST(-0.14,TRUE)</f>
        <v>0.44432998813755104</v>
      </c>
      <c r="G38" s="11">
        <f>_xlfn.NORM.S.DIST(-0.15,TRUE)</f>
        <v>0.4403823052043527</v>
      </c>
      <c r="H38" s="11">
        <f>_xlfn.NORM.S.DIST(-0.16,TRUE)</f>
        <v>0.43644053890577944</v>
      </c>
      <c r="I38" s="11">
        <f>_xlfn.NORM.S.DIST(-0.17,TRUE)</f>
        <v>0.43250507388041076</v>
      </c>
      <c r="J38" s="11">
        <f>_xlfn.NORM.S.DIST(-0.18,TRUE)</f>
        <v>0.42857629291352134</v>
      </c>
      <c r="K38" s="11">
        <f>_xlfn.NORM.S.DIST(-0.19,TRUE)</f>
        <v>0.4246545768218319</v>
      </c>
    </row>
    <row r="39" spans="1:11" x14ac:dyDescent="0.25">
      <c r="A39" s="16" t="s">
        <v>81</v>
      </c>
      <c r="B39" s="11">
        <f>_xlfn.NORM.S.DIST(0,TRUE)</f>
        <v>0.49999998499999976</v>
      </c>
      <c r="C39" s="11">
        <f>_xlfn.NORM.S.DIST(-0.01,TRUE)</f>
        <v>0.49601063702311293</v>
      </c>
      <c r="D39" s="11">
        <f>_xlfn.NORM.S.DIST(-0.02,TRUE)</f>
        <v>0.4920216642649578</v>
      </c>
      <c r="E39" s="11">
        <f>_xlfn.NORM.S.DIST(-0.03,TRUE)</f>
        <v>0.4880334943520315</v>
      </c>
      <c r="F39" s="11">
        <f>_xlfn.NORM.S.DIST(-0.04,TRUE)</f>
        <v>0.48404652483719146</v>
      </c>
      <c r="G39" s="11">
        <f>_xlfn.NORM.S.DIST(-0.05,TRUE)</f>
        <v>0.4800611530603849</v>
      </c>
      <c r="H39" s="11">
        <f>_xlfn.NORM.S.DIST(-0.06,TRUE)</f>
        <v>0.47607777601165774</v>
      </c>
      <c r="I39" s="11">
        <f>_xlfn.NORM.S.DIST(-0.07,TRUE)</f>
        <v>0.47209679019629747</v>
      </c>
      <c r="J39" s="11">
        <f>_xlfn.NORM.S.DIST(-0.08,TRUE)</f>
        <v>0.46811859150198</v>
      </c>
      <c r="K39" s="11">
        <f>_xlfn.NORM.S.DIST(-0.09,TRUE)</f>
        <v>0.46414357506781445</v>
      </c>
    </row>
    <row r="40" spans="1:11" x14ac:dyDescent="0.25">
      <c r="A40" s="16" t="s">
        <v>82</v>
      </c>
      <c r="B40" s="11">
        <f>_xlfn.NORM.S.DIST(0,TRUE)</f>
        <v>0.49999998499999976</v>
      </c>
      <c r="C40" s="11">
        <f>_xlfn.NORM.S.DIST(0.01,TRUE)</f>
        <v>0.503989362976887</v>
      </c>
      <c r="D40" s="11">
        <f>_xlfn.NORM.S.DIST(0.02,TRUE)</f>
        <v>0.5079783357350423</v>
      </c>
      <c r="E40" s="11">
        <f>_xlfn.NORM.S.DIST(0.03,TRUE)</f>
        <v>0.5119665056479685</v>
      </c>
      <c r="F40" s="11">
        <f>_xlfn.NORM.S.DIST(0.04,TRUE)</f>
        <v>0.5159534751628085</v>
      </c>
      <c r="G40" s="11">
        <f>_xlfn.NORM.S.DIST(0.05,TRUE)</f>
        <v>0.5199388469396151</v>
      </c>
      <c r="H40" s="11">
        <f>_xlfn.NORM.S.DIST(0.06,TRUE)</f>
        <v>0.5239222239883423</v>
      </c>
      <c r="I40" s="11">
        <f>_xlfn.NORM.S.DIST(0.07,TRUE)</f>
        <v>0.5279032098037025</v>
      </c>
      <c r="J40" s="11">
        <f>_xlfn.NORM.S.DIST(0.08,TRUE)</f>
        <v>0.53188140849802</v>
      </c>
      <c r="K40" s="11">
        <f>_xlfn.NORM.S.DIST(0.09,TRUE)</f>
        <v>0.5358564249321855</v>
      </c>
    </row>
    <row r="41" spans="1:11" x14ac:dyDescent="0.25">
      <c r="A41" s="16" t="s">
        <v>83</v>
      </c>
      <c r="B41" s="11">
        <f>_xlfn.NORM.S.DIST(0.1,TRUE)</f>
        <v>0.5398278648448075</v>
      </c>
      <c r="C41" s="11">
        <f>_xlfn.NORM.S.DIST(0.11,TRUE)</f>
        <v>0.5437953349796455</v>
      </c>
      <c r="D41" s="11">
        <f>_xlfn.NORM.S.DIST(0.12,TRUE)</f>
        <v>0.5477584432113844</v>
      </c>
      <c r="E41" s="11">
        <f>_xlfn.NORM.S.DIST(0.13,TRUE)</f>
        <v>0.551716798669813</v>
      </c>
      <c r="F41" s="11">
        <f>_xlfn.NORM.S.DIST(0.14,TRUE)</f>
        <v>0.5556700118624489</v>
      </c>
      <c r="G41" s="11">
        <f>_xlfn.NORM.S.DIST(0.15,TRUE)</f>
        <v>0.5596176947956473</v>
      </c>
      <c r="H41" s="11">
        <f>_xlfn.NORM.S.DIST(0.16,TRUE)</f>
        <v>0.5635594610942205</v>
      </c>
      <c r="I41" s="11">
        <f>_xlfn.NORM.S.DIST(0.17,TRUE)</f>
        <v>0.5674949261195892</v>
      </c>
      <c r="J41" s="11">
        <f>_xlfn.NORM.S.DIST(0.18,TRUE)</f>
        <v>0.5714237070864787</v>
      </c>
      <c r="K41" s="11">
        <f>_xlfn.NORM.S.DIST(0.19,TRUE)</f>
        <v>0.5753454231781681</v>
      </c>
    </row>
    <row r="42" spans="1:11" x14ac:dyDescent="0.25">
      <c r="A42" s="16" t="s">
        <v>84</v>
      </c>
      <c r="B42" s="11">
        <f>_xlfn.NORM.S.DIST(0.2,TRUE)</f>
        <v>0.5792596956602947</v>
      </c>
      <c r="C42" s="11">
        <f>_xlfn.NORM.S.DIST(0.21,TRUE)</f>
        <v>0.5831661479932057</v>
      </c>
      <c r="D42" s="11">
        <f>_xlfn.NORM.S.DIST(0.22,TRUE)</f>
        <v>0.5870644059428605</v>
      </c>
      <c r="E42" s="11">
        <f>_xlfn.NORM.S.DIST(0.23,TRUE)</f>
        <v>0.5909540976902603</v>
      </c>
      <c r="F42" s="11">
        <f>_xlfn.NORM.S.DIST(0.24,TRUE)</f>
        <v>0.5948348539394005</v>
      </c>
      <c r="G42" s="11">
        <f>_xlfn.NORM.S.DIST(0.25,TRUE)</f>
        <v>0.5987063080237229</v>
      </c>
      <c r="H42" s="11">
        <f>_xlfn.NORM.S.DIST(0.26,TRUE)</f>
        <v>0.602568096011049</v>
      </c>
      <c r="I42" s="11">
        <f>_xlfn.NORM.S.DIST(0.27,TRUE)</f>
        <v>0.6064198568069761</v>
      </c>
      <c r="J42" s="11">
        <f>_xlfn.NORM.S.DIST(0.28,TRUE)</f>
        <v>0.610261232256706</v>
      </c>
      <c r="K42" s="11">
        <f>_xlfn.NORM.S.DIST(0.29,TRUE)</f>
        <v>0.6140918672452862</v>
      </c>
    </row>
    <row r="43" spans="1:11" x14ac:dyDescent="0.25">
      <c r="A43" s="16" t="s">
        <v>85</v>
      </c>
      <c r="B43" s="11">
        <f>_xlfn.NORM.S.DIST(0.3,TRUE)</f>
        <v>0.6179114097962345</v>
      </c>
      <c r="C43" s="11">
        <f>_xlfn.NORM.S.DIST(0.31,TRUE)</f>
        <v>0.6217195111685199</v>
      </c>
      <c r="D43" s="11">
        <f>_xlfn.NORM.S.DIST(0.32,TRUE)</f>
        <v>0.6255158259518714</v>
      </c>
      <c r="E43" s="11">
        <f>_xlfn.NORM.S.DIST(0.33,TRUE)</f>
        <v>0.6293000121603842</v>
      </c>
      <c r="F43" s="11">
        <f>_xlfn.NORM.S.DIST(0.34,TRUE)</f>
        <v>0.6330717313243966</v>
      </c>
      <c r="G43" s="11">
        <f>_xlfn.NORM.S.DIST(0.35,TRUE)</f>
        <v>0.6368306485806041</v>
      </c>
      <c r="H43" s="11">
        <f>_xlfn.NORM.S.DIST(0.36,TRUE)</f>
        <v>0.6405764327603855</v>
      </c>
      <c r="I43" s="11">
        <f>_xlfn.NORM.S.DIST(0.37,TRUE)</f>
        <v>0.6443087564763046</v>
      </c>
      <c r="J43" s="11">
        <f>_xlfn.NORM.S.DIST(0.38,TRUE)</f>
        <v>0.6480272962067661</v>
      </c>
      <c r="K43" s="11">
        <f>_xlfn.NORM.S.DIST(0.39,TRUE)</f>
        <v>0.6517317323787892</v>
      </c>
    </row>
    <row r="44" spans="1:11" x14ac:dyDescent="0.25">
      <c r="A44" s="16" t="s">
        <v>86</v>
      </c>
      <c r="B44" s="11">
        <f>_xlfn.NORM.S.DIST(0.4,TRUE)</f>
        <v>0.6554217494488741</v>
      </c>
      <c r="C44" s="11">
        <f>_xlfn.NORM.S.DIST(0.41,TRUE)</f>
        <v>0.6590970359819317</v>
      </c>
      <c r="D44" s="11">
        <f>_xlfn.NORM.S.DIST(0.42,TRUE)</f>
        <v>0.6627572847282492</v>
      </c>
      <c r="E44" s="11">
        <f>_xlfn.NORM.S.DIST(0.43,TRUE)</f>
        <v>0.6664021926984656</v>
      </c>
      <c r="F44" s="11">
        <f>_xlfn.NORM.S.DIST(0.44,TRUE)</f>
        <v>0.6700314612365281</v>
      </c>
      <c r="G44" s="11">
        <f>_xlfn.NORM.S.DIST(0.45,TRUE)</f>
        <v>0.6736447960906078</v>
      </c>
      <c r="H44" s="11">
        <f>_xlfn.NORM.S.DIST(0.46,TRUE)</f>
        <v>0.6772419074819472</v>
      </c>
      <c r="I44" s="11">
        <f>_xlfn.NORM.S.DIST(0.47,TRUE)</f>
        <v>0.680822510171619</v>
      </c>
      <c r="J44" s="11">
        <f>_xlfn.NORM.S.DIST(0.48,TRUE)</f>
        <v>0.6843863235251708</v>
      </c>
      <c r="K44" s="11">
        <f>_xlfn.NORM.S.DIST(0.49,TRUE)</f>
        <v>0.6879330715751372</v>
      </c>
    </row>
    <row r="45" spans="1:11" x14ac:dyDescent="0.25">
      <c r="A45" s="16" t="s">
        <v>87</v>
      </c>
      <c r="B45" s="11">
        <f>_xlfn.NORM.S.DIST(0.5,TRUE)</f>
        <v>0.6914624830813982</v>
      </c>
      <c r="C45" s="11">
        <f>_xlfn.NORM.S.DIST(0.51,TRUE)</f>
        <v>0.6949742915893637</v>
      </c>
      <c r="D45" s="11">
        <f>_xlfn.NORM.S.DIST(0.52,TRUE)</f>
        <v>0.6984682354859693</v>
      </c>
      <c r="E45" s="11">
        <f>_xlfn.NORM.S.DIST(0.53,TRUE)</f>
        <v>0.7019440580534639</v>
      </c>
      <c r="F45" s="11">
        <f>_xlfn.NORM.S.DIST(0.54,TRUE)</f>
        <v>0.7054015075209754</v>
      </c>
      <c r="G45" s="11">
        <f>_xlfn.NORM.S.DIST(0.55,TRUE)</f>
        <v>0.7088403371138414</v>
      </c>
      <c r="H45" s="11">
        <f>_xlfn.NORM.S.DIST(0.56,TRUE)</f>
        <v>0.7122603051006894</v>
      </c>
      <c r="I45" s="11">
        <f>_xlfn.NORM.S.DIST(0.57,TRUE)</f>
        <v>0.7156611748382594</v>
      </c>
      <c r="J45" s="11">
        <f>_xlfn.NORM.S.DIST(0.58,TRUE)</f>
        <v>0.7190427148139543</v>
      </c>
      <c r="K45" s="11">
        <f>_xlfn.NORM.S.DIST(0.59,TRUE)</f>
        <v>0.7224046986861135</v>
      </c>
    </row>
    <row r="46" spans="1:11" x14ac:dyDescent="0.25">
      <c r="A46" s="16" t="s">
        <v>88</v>
      </c>
      <c r="B46" s="11">
        <f>_xlfn.NORM.S.DIST(0.6,TRUE)</f>
        <v>0.7257469053219991</v>
      </c>
      <c r="C46" s="11">
        <f>_xlfn.NORM.S.DIST(0.61,TRUE)</f>
        <v>0.7290691188334922</v>
      </c>
      <c r="D46" s="11">
        <f>_xlfn.NORM.S.DIST(0.62,TRUE)</f>
        <v>0.7323711286104917</v>
      </c>
      <c r="E46" s="11">
        <f>_xlfn.NORM.S.DIST(0.63,TRUE)</f>
        <v>0.7356527293520135</v>
      </c>
      <c r="F46" s="11">
        <f>_xlfn.NORM.S.DIST(0.64,TRUE)</f>
        <v>0.7389137210949895</v>
      </c>
      <c r="G46" s="11">
        <f>_xlfn.NORM.S.DIST(0.65,TRUE)</f>
        <v>0.7421539092407639</v>
      </c>
      <c r="H46" s="11">
        <f>_xlfn.NORM.S.DIST(0.66,TRUE)</f>
        <v>0.74537310457929</v>
      </c>
      <c r="I46" s="11">
        <f>_xlfn.NORM.S.DIST(0.67,TRUE)</f>
        <v>0.7485711233110266</v>
      </c>
      <c r="J46" s="11">
        <f>_xlfn.NORM.S.DIST(0.68,TRUE)</f>
        <v>0.7517477870665421</v>
      </c>
      <c r="K46" s="11">
        <f>_xlfn.NORM.S.DIST(0.69,TRUE)</f>
        <v>0.7549029229238264</v>
      </c>
    </row>
    <row r="47" spans="1:11" x14ac:dyDescent="0.25">
      <c r="A47" s="16" t="s">
        <v>89</v>
      </c>
      <c r="B47" s="11">
        <f>_xlfn.NORM.S.DIST(0.7,TRUE)</f>
        <v>0.758036363423321</v>
      </c>
      <c r="C47" s="11">
        <f>_xlfn.NORM.S.DIST(0.71,TRUE)</f>
        <v>0.7611479465806724</v>
      </c>
      <c r="D47" s="11">
        <f>_xlfn.NORM.S.DIST(0.72,TRUE)</f>
        <v>0.7642375158972187</v>
      </c>
      <c r="E47" s="11">
        <f>_xlfn.NORM.S.DIST(0.73,TRUE)</f>
        <v>0.7673049203682196</v>
      </c>
      <c r="F47" s="11">
        <f>_xlfn.NORM.S.DIST(0.74,TRUE)</f>
        <v>0.7703500144888414</v>
      </c>
      <c r="G47" s="11">
        <f>_xlfn.NORM.S.DIST(0.75,TRUE)</f>
        <v>0.7733726582579102</v>
      </c>
      <c r="H47" s="11">
        <f>_xlfn.NORM.S.DIST(0.76,TRUE)</f>
        <v>0.7763727171794452</v>
      </c>
      <c r="I47" s="11">
        <f>_xlfn.NORM.S.DIST(0.77,TRUE)</f>
        <v>0.7793500622619904</v>
      </c>
      <c r="J47" s="11">
        <f>_xlfn.NORM.S.DIST(0.78,TRUE)</f>
        <v>0.7823045700157603</v>
      </c>
      <c r="K47" s="11">
        <f>_xlfn.NORM.S.DIST(0.79,TRUE)</f>
        <v>0.7852361224476145</v>
      </c>
    </row>
    <row r="48" spans="1:11" x14ac:dyDescent="0.25">
      <c r="A48" s="16" t="s">
        <v>90</v>
      </c>
      <c r="B48" s="11">
        <f>_xlfn.NORM.S.DIST(0.8,TRUE)</f>
        <v>0.7881446070538853</v>
      </c>
      <c r="C48" s="11">
        <f>_xlfn.NORM.S.DIST(0.81,TRUE)</f>
        <v>0.791029916811073</v>
      </c>
      <c r="D48" s="11">
        <f>_xlfn.NORM.S.DIST(0.82,TRUE)</f>
        <v>0.7938919501644335</v>
      </c>
      <c r="E48" s="11">
        <f>_xlfn.NORM.S.DIST(0.83,TRUE)</f>
        <v>0.7967306110144793</v>
      </c>
      <c r="F48" s="11">
        <f>_xlfn.NORM.S.DIST(0.84,TRUE)</f>
        <v>0.7995458087014167</v>
      </c>
      <c r="G48" s="11">
        <f>_xlfn.NORM.S.DIST(0.85,TRUE)</f>
        <v>0.8023374579875453</v>
      </c>
      <c r="H48" s="11">
        <f>_xlfn.NORM.S.DIST(0.86,TRUE)</f>
        <v>0.8051054790376426</v>
      </c>
      <c r="I48" s="11">
        <f>_xlfn.NORM.S.DIST(0.87,TRUE)</f>
        <v>0.8078497973973622</v>
      </c>
      <c r="J48" s="11">
        <f>_xlfn.NORM.S.DIST(0.88,TRUE)</f>
        <v>0.8105703439696724</v>
      </c>
      <c r="K48" s="11">
        <f>_xlfn.NORM.S.DIST(0.89,TRUE)</f>
        <v>0.8132670549893632</v>
      </c>
    </row>
    <row r="49" spans="1:11" x14ac:dyDescent="0.25">
      <c r="A49" s="16" t="s">
        <v>91</v>
      </c>
      <c r="B49" s="11">
        <f>_xlfn.NORM.S.DIST(0.9,TRUE)</f>
        <v>0.8159398719956517</v>
      </c>
      <c r="C49" s="11">
        <f>_xlfn.NORM.S.DIST(0.91,TRUE)</f>
        <v>0.8185887418029137</v>
      </c>
      <c r="D49" s="11">
        <f>_xlfn.NORM.S.DIST(0.92,TRUE)</f>
        <v>0.8212136164695774</v>
      </c>
      <c r="E49" s="11">
        <f>_xlfn.NORM.S.DIST(0.93,TRUE)</f>
        <v>0.8238144532652042</v>
      </c>
      <c r="F49" s="11">
        <f>_xlfn.NORM.S.DIST(0.94,TRUE)</f>
        <v>0.8263912146357962</v>
      </c>
      <c r="G49" s="11">
        <f>_xlfn.NORM.S.DIST(0.95,TRUE)</f>
        <v>0.8289438681673582</v>
      </c>
      <c r="H49" s="11">
        <f>_xlfn.NORM.S.DIST(0.96,TRUE)</f>
        <v>0.831472386547752</v>
      </c>
      <c r="I49" s="11">
        <f>_xlfn.NORM.S.DIST(0.97,TRUE)</f>
        <v>0.8339767475268753</v>
      </c>
      <c r="J49" s="11">
        <f>_xlfn.NORM.S.DIST(0.98,TRUE)</f>
        <v>0.8364569338752034</v>
      </c>
      <c r="K49" s="11">
        <f>_xlfn.NORM.S.DIST(0.99,TRUE)</f>
        <v>0.8389129333407271</v>
      </c>
    </row>
    <row r="50" spans="1:11" x14ac:dyDescent="0.25">
      <c r="A50" s="16" t="s">
        <v>92</v>
      </c>
      <c r="B50" s="11">
        <f>_xlfn.NORM.S.DIST(1,TRUE)</f>
        <v>0.8413447386043253</v>
      </c>
      <c r="C50" s="11">
        <f>_xlfn.NORM.S.DIST(1.01,TRUE)</f>
        <v>0.8437523472336095</v>
      </c>
      <c r="D50" s="11">
        <f>_xlfn.NORM.S.DIST(1.02,TRUE)</f>
        <v>0.8461357616352772</v>
      </c>
      <c r="E50" s="11">
        <f>_xlfn.NORM.S.DIST(1.03,TRUE)</f>
        <v>0.8484949890060138</v>
      </c>
      <c r="F50" s="11">
        <f>_xlfn.NORM.S.DIST(1.04,TRUE)</f>
        <v>0.8508300412819821</v>
      </c>
      <c r="G50" s="11">
        <f>_xlfn.NORM.S.DIST(1.05,TRUE)</f>
        <v>0.8531409350869358</v>
      </c>
      <c r="H50" s="11">
        <f>_xlfn.NORM.S.DIST(1.06,TRUE)</f>
        <v>0.8554276916790017</v>
      </c>
      <c r="I50" s="11">
        <f>_xlfn.NORM.S.DIST(1.07,TRUE)</f>
        <v>0.8576903368961666</v>
      </c>
      <c r="J50" s="11">
        <f>_xlfn.NORM.S.DIST(1.08,TRUE)</f>
        <v>0.859928901100512</v>
      </c>
      <c r="K50" s="11">
        <f>_xlfn.NORM.S.DIST(1.09,TRUE)</f>
        <v>0.8621434191212358</v>
      </c>
    </row>
    <row r="51" spans="1:11" x14ac:dyDescent="0.25">
      <c r="A51" s="16" t="s">
        <v>93</v>
      </c>
      <c r="B51" s="11">
        <f>_xlfn.NORM.S.DIST(1.1,TRUE)</f>
        <v>0.8643339301965032</v>
      </c>
      <c r="C51" s="11">
        <f>_xlfn.NORM.S.DIST(1.11,TRUE)</f>
        <v>0.8665004779141674</v>
      </c>
      <c r="D51" s="11">
        <f>_xlfn.NORM.S.DIST(1.12,TRUE)</f>
        <v>0.868643110151404</v>
      </c>
      <c r="E51" s="11">
        <f>_xlfn.NORM.S.DIST(1.13,TRUE)</f>
        <v>0.8707618790132978</v>
      </c>
      <c r="F51" s="11">
        <f>_xlfn.NORM.S.DIST(1.14,TRUE)</f>
        <v>0.8728568407704252</v>
      </c>
      <c r="G51" s="11">
        <f>_xlfn.NORM.S.DIST(1.15,TRUE)</f>
        <v>0.8749280557954756</v>
      </c>
      <c r="H51" s="11">
        <f>_xlfn.NORM.S.DIST(1.16,TRUE)</f>
        <v>0.8769755884989536</v>
      </c>
      <c r="I51" s="11">
        <f>_xlfn.NORM.S.DIST(1.17,TRUE)</f>
        <v>0.8789995072640023</v>
      </c>
      <c r="J51" s="11">
        <f>_xlfn.NORM.S.DIST(1.18,TRUE)</f>
        <v>0.8809998843803933</v>
      </c>
      <c r="K51" s="11">
        <f>_xlfn.NORM.S.DIST(1.19,TRUE)</f>
        <v>0.8829767959777232</v>
      </c>
    </row>
    <row r="52" spans="1:11" x14ac:dyDescent="0.25">
      <c r="A52" s="16" t="s">
        <v>94</v>
      </c>
      <c r="B52" s="11">
        <f>_xlfn.NORM.S.DIST(1.2,TRUE)</f>
        <v>0.8849303219578604</v>
      </c>
      <c r="C52" s="11">
        <f>_xlfn.NORM.S.DIST(1.21,TRUE)</f>
        <v>0.886860545926684</v>
      </c>
      <c r="D52" s="11">
        <f>_xlfn.NORM.S.DIST(1.22,TRUE)</f>
        <v>0.8887675551251577</v>
      </c>
      <c r="E52" s="11">
        <f>_xlfn.NORM.S.DIST(1.23,TRUE)</f>
        <v>0.8906514403597796</v>
      </c>
      <c r="F52" s="11">
        <f>_xlfn.NORM.S.DIST(1.24,TRUE)</f>
        <v>0.8925122959324512</v>
      </c>
      <c r="G52" s="11">
        <f>_xlfn.NORM.S.DIST(1.25,TRUE)</f>
        <v>0.894350219569807</v>
      </c>
      <c r="H52" s="11">
        <f>_xlfn.NORM.S.DIST(1.26,TRUE)</f>
        <v>0.8961653123520466</v>
      </c>
      <c r="I52" s="11">
        <f>_xlfn.NORM.S.DIST(1.27,TRUE)</f>
        <v>0.8979576786413097</v>
      </c>
      <c r="J52" s="11">
        <f>_xlfn.NORM.S.DIST(1.28,TRUE)</f>
        <v>0.8997274260096373</v>
      </c>
      <c r="K52" s="11">
        <f>_xlfn.NORM.S.DIST(1.29,TRUE)</f>
        <v>0.9014746651665582</v>
      </c>
    </row>
    <row r="53" spans="1:11" x14ac:dyDescent="0.25">
      <c r="A53" s="16" t="s">
        <v>95</v>
      </c>
      <c r="B53" s="11">
        <f>_xlfn.NORM.S.DIST(1.3,TRUE)</f>
        <v>0.903199509886342</v>
      </c>
      <c r="C53" s="11">
        <f>_xlfn.NORM.S.DIST(1.31,TRUE)</f>
        <v>0.90490207693496</v>
      </c>
      <c r="D53" s="11">
        <f>_xlfn.NORM.S.DIST(1.32,TRUE)</f>
        <v>0.9065824859967923</v>
      </c>
      <c r="E53" s="11">
        <f>_xlfn.NORM.S.DIST(1.33,TRUE)</f>
        <v>0.9082408596011219</v>
      </c>
      <c r="F53" s="11">
        <f>_xlfn.NORM.S.DIST(1.34,TRUE)</f>
        <v>0.9098773230484553</v>
      </c>
      <c r="G53" s="11">
        <f>_xlfn.NORM.S.DIST(1.35,TRUE)</f>
        <v>0.9114920043367074</v>
      </c>
      <c r="H53" s="11">
        <f>_xlfn.NORM.S.DIST(1.36,TRUE)</f>
        <v>0.9130850340872902</v>
      </c>
      <c r="I53" s="11">
        <f>_xlfn.NORM.S.DIST(1.37,TRUE)</f>
        <v>0.9146565454711425</v>
      </c>
      <c r="J53" s="11">
        <f>_xlfn.NORM.S.DIST(1.38,TRUE)</f>
        <v>0.9162066741347384</v>
      </c>
      <c r="K53" s="11">
        <f>_xlfn.NORM.S.DIST(1.39,TRUE)</f>
        <v>0.9177355581261131</v>
      </c>
    </row>
    <row r="54" spans="1:11" x14ac:dyDescent="0.25">
      <c r="A54" s="16" t="s">
        <v>96</v>
      </c>
      <c r="B54" s="11">
        <f>_xlfn.NORM.S.DIST(1.4,TRUE)</f>
        <v>0.9192433378209381</v>
      </c>
      <c r="C54" s="11">
        <f>_xlfn.NORM.S.DIST(1.41,TRUE)</f>
        <v>0.9207301558486889</v>
      </c>
      <c r="D54" s="11">
        <f>_xlfn.NORM.S.DIST(1.42,TRUE)</f>
        <v>0.9221961570189324</v>
      </c>
      <c r="E54" s="11">
        <f>_xlfn.NORM.S.DIST(1.43,TRUE)</f>
        <v>0.9236414882477767</v>
      </c>
      <c r="F54" s="11">
        <f>_xlfn.NORM.S.DIST(1.44,TRUE)</f>
        <v>0.9250662984845114</v>
      </c>
      <c r="G54" s="11">
        <f>_xlfn.NORM.S.DIST(1.45,TRUE)</f>
        <v>0.9264707386384758</v>
      </c>
      <c r="H54" s="11">
        <f>_xlfn.NORM.S.DIST(1.46,TRUE)</f>
        <v>0.9278549615061874</v>
      </c>
      <c r="I54" s="11">
        <f>_xlfn.NORM.S.DIST(1.47,TRUE)</f>
        <v>0.9292191216987614</v>
      </c>
      <c r="J54" s="11">
        <f>_xlfn.NORM.S.DIST(1.48,TRUE)</f>
        <v>0.930563375569656</v>
      </c>
      <c r="K54" s="11">
        <f>_xlfn.NORM.S.DIST(1.49,TRUE)</f>
        <v>0.9318878811427711</v>
      </c>
    </row>
    <row r="55" spans="1:11" x14ac:dyDescent="0.25">
      <c r="A55" s="16" t="s">
        <v>97</v>
      </c>
      <c r="B55" s="11">
        <f>_xlfn.NORM.S.DIST(1.5,TRUE)</f>
        <v>0.9331927980409356</v>
      </c>
      <c r="C55" s="11">
        <f>_xlfn.NORM.S.DIST(1.51,TRUE)</f>
        <v>0.9344782874148075</v>
      </c>
      <c r="D55" s="11">
        <f>_xlfn.NORM.S.DIST(1.52,TRUE)</f>
        <v>0.9357445118722216</v>
      </c>
      <c r="E55" s="11">
        <f>_xlfn.NORM.S.DIST(1.53,TRUE)</f>
        <v>0.9369916354080081</v>
      </c>
      <c r="F55" s="11">
        <f>_xlfn.NORM.S.DIST(1.54,TRUE)</f>
        <v>0.9382198233343142</v>
      </c>
      <c r="G55" s="11">
        <f>_xlfn.NORM.S.DIST(1.55,TRUE)</f>
        <v>0.9394292422114531</v>
      </c>
      <c r="H55" s="11">
        <f>_xlfn.NORM.S.DIST(1.56,TRUE)</f>
        <v>0.9406200597793075</v>
      </c>
      <c r="I55" s="11">
        <f>_xlfn.NORM.S.DIST(1.57,TRUE)</f>
        <v>0.9417924448893134</v>
      </c>
      <c r="J55" s="11">
        <f>_xlfn.NORM.S.DIST(1.58,TRUE)</f>
        <v>0.9429465674370481</v>
      </c>
      <c r="K55" s="11">
        <f>_xlfn.NORM.S.DIST(1.59,TRUE)</f>
        <v>0.9440825982954486</v>
      </c>
    </row>
    <row r="56" spans="1:11" x14ac:dyDescent="0.25">
      <c r="A56" s="16" t="s">
        <v>98</v>
      </c>
      <c r="B56" s="11">
        <f>_xlfn.NORM.S.DIST(1.6,TRUE)</f>
        <v>0.9452007092486813</v>
      </c>
      <c r="C56" s="11">
        <f>_xlfn.NORM.S.DIST(1.61,TRUE)</f>
        <v>0.9463010729266865</v>
      </c>
      <c r="D56" s="11">
        <f>_xlfn.NORM.S.DIST(1.62,TRUE)</f>
        <v>0.9473838627404213</v>
      </c>
      <c r="E56" s="11">
        <f>_xlfn.NORM.S.DIST(1.63,TRUE)</f>
        <v>0.9484492528178183</v>
      </c>
      <c r="F56" s="11">
        <f>_xlfn.NORM.S.DIST(1.64,TRUE)</f>
        <v>0.949497417940485</v>
      </c>
      <c r="G56" s="11">
        <f>_xlfn.NORM.S.DIST(1.65,TRUE)</f>
        <v>0.9505285334811587</v>
      </c>
      <c r="H56" s="11">
        <f>_xlfn.NORM.S.DIST(1.66,TRUE)</f>
        <v>0.9515427753419397</v>
      </c>
      <c r="I56" s="11">
        <f>_xlfn.NORM.S.DIST(1.67,TRUE)</f>
        <v>0.9525403198933183</v>
      </c>
      <c r="J56" s="11">
        <f>_xlfn.NORM.S.DIST(1.68,TRUE)</f>
        <v>0.9535213439140148</v>
      </c>
      <c r="K56" s="11">
        <f>_xlfn.NORM.S.DIST(1.69,TRUE)</f>
        <v>0.9544860245316467</v>
      </c>
    </row>
    <row r="57" spans="1:11" x14ac:dyDescent="0.25">
      <c r="A57" s="16" t="s">
        <v>99</v>
      </c>
      <c r="B57" s="11">
        <f>_xlfn.NORM.S.DIST(1.7,TRUE)</f>
        <v>0.9554345391642407</v>
      </c>
      <c r="C57" s="11">
        <f>_xlfn.NORM.S.DIST(1.71,TRUE)</f>
        <v>0.9563670654626041</v>
      </c>
      <c r="D57" s="11">
        <f>_xlfn.NORM.S.DIST(1.72,TRUE)</f>
        <v>0.9572837812535695</v>
      </c>
      <c r="E57" s="11">
        <f>_xlfn.NORM.S.DIST(1.73,TRUE)</f>
        <v>0.9581848644841259</v>
      </c>
      <c r="F57" s="11">
        <f>_xlfn.NORM.S.DIST(1.74,TRUE)</f>
        <v>0.95907049316645</v>
      </c>
      <c r="G57" s="11">
        <f>_xlfn.NORM.S.DIST(1.75,TRUE)</f>
        <v>0.9599408453238485</v>
      </c>
      <c r="H57" s="11">
        <f>_xlfn.NORM.S.DIST(1.76,TRUE)</f>
        <v>0.9607960989376234</v>
      </c>
      <c r="I57" s="11">
        <f>_xlfn.NORM.S.DIST(1.77,TRUE)</f>
        <v>0.9616364318948709</v>
      </c>
      <c r="J57" s="11">
        <f>_xlfn.NORM.S.DIST(1.78,TRUE)</f>
        <v>0.9624620219372216</v>
      </c>
      <c r="K57" s="11">
        <f>_xlfn.NORM.S.DIST(1.79,TRUE)</f>
        <v>0.963273046610535</v>
      </c>
    </row>
    <row r="58" spans="1:11" x14ac:dyDescent="0.25">
      <c r="A58" s="16" t="s">
        <v>100</v>
      </c>
      <c r="B58" s="11">
        <f>_xlfn.NORM.S.DIST(1.8,TRUE)</f>
        <v>0.9640696832155524</v>
      </c>
      <c r="C58" s="11">
        <f>_xlfn.NORM.S.DIST(1.81,TRUE)</f>
        <v>0.9648521087595177</v>
      </c>
      <c r="D58" s="11">
        <f>_xlfn.NORM.S.DIST(1.82,TRUE)</f>
        <v>0.9656204999087739</v>
      </c>
      <c r="E58" s="11">
        <f>_xlfn.NORM.S.DIST(1.83,TRUE)</f>
        <v>0.9663750329423394</v>
      </c>
      <c r="F58" s="11">
        <f>_xlfn.NORM.S.DIST(1.84,TRUE)</f>
        <v>0.9671158837064705</v>
      </c>
      <c r="G58" s="11">
        <f>_xlfn.NORM.S.DIST(1.85,TRUE)</f>
        <v>0.9678432275702158</v>
      </c>
      <c r="H58" s="11">
        <f>_xlfn.NORM.S.DIST(1.86,TRUE)</f>
        <v>0.968557239381964</v>
      </c>
      <c r="I58" s="11">
        <f>_xlfn.NORM.S.DIST(1.87,TRUE)</f>
        <v>0.9692580934269925</v>
      </c>
      <c r="J58" s="11">
        <f>_xlfn.NORM.S.DIST(1.88,TRUE)</f>
        <v>0.9699459633860152</v>
      </c>
      <c r="K58" s="11">
        <f>_xlfn.NORM.S.DIST(1.89,TRUE)</f>
        <v>0.9706210222947347</v>
      </c>
    </row>
    <row r="59" spans="1:11" x14ac:dyDescent="0.25">
      <c r="A59" s="16" t="s">
        <v>101</v>
      </c>
      <c r="B59" s="11">
        <f>_xlfn.NORM.S.DIST(1.9,TRUE)</f>
        <v>0.9712834425043996</v>
      </c>
      <c r="C59" s="11">
        <f>_xlfn.NORM.S.DIST(1.91,TRUE)</f>
        <v>0.9719333956433669</v>
      </c>
      <c r="D59" s="11">
        <f>_xlfn.NORM.S.DIST(1.92,TRUE)</f>
        <v>0.9725710525796714</v>
      </c>
      <c r="E59" s="11">
        <f>_xlfn.NORM.S.DIST(1.93,TRUE)</f>
        <v>0.9731965833845992</v>
      </c>
      <c r="F59" s="11">
        <f>_xlfn.NORM.S.DIST(1.94,TRUE)</f>
        <v>0.9738101572972684</v>
      </c>
      <c r="G59" s="11">
        <f>_xlfn.NORM.S.DIST(1.95,TRUE)</f>
        <v>0.9744119426902104</v>
      </c>
      <c r="H59" s="11">
        <f>_xlfn.NORM.S.DIST(1.96,TRUE)</f>
        <v>0.9750021070359539</v>
      </c>
      <c r="I59" s="11">
        <f>_xlfn.NORM.S.DIST(1.97,TRUE)</f>
        <v>0.9755808168746076</v>
      </c>
      <c r="J59" s="11">
        <f>_xlfn.NORM.S.DIST(1.98,TRUE)</f>
        <v>0.9761482377824373</v>
      </c>
      <c r="K59" s="11">
        <f>_xlfn.NORM.S.DIST(1.99,TRUE)</f>
        <v>0.976704534341435</v>
      </c>
    </row>
    <row r="60" spans="1:11" x14ac:dyDescent="0.25">
      <c r="A60" s="16" t="s">
        <v>102</v>
      </c>
      <c r="B60" s="11">
        <f>_xlfn.NORM.S.DIST(2,TRUE)</f>
        <v>0.9772498701098755</v>
      </c>
      <c r="C60" s="11">
        <f>_xlfn.NORM.S.DIST(2.01,TRUE)</f>
        <v>0.9777844075938559</v>
      </c>
      <c r="D60" s="11">
        <f>_xlfn.NORM.S.DIST(2.02,TRUE)</f>
        <v>0.9783083082198117</v>
      </c>
      <c r="E60" s="11">
        <f>_xlfn.NORM.S.DIST(2.03,TRUE)</f>
        <v>0.978821732308006</v>
      </c>
      <c r="F60" s="11">
        <f>_xlfn.NORM.S.DIST(2.04,TRUE)</f>
        <v>0.9793248390469822</v>
      </c>
      <c r="G60" s="11">
        <f>_xlfn.NORM.S.DIST(2.05,TRUE)</f>
        <v>0.9798177864689782</v>
      </c>
      <c r="H60" s="11">
        <f>_xlfn.NORM.S.DIST(2.06,TRUE)</f>
        <v>0.9803007314262904</v>
      </c>
      <c r="I60" s="11">
        <f>_xlfn.NORM.S.DIST(2.07,TRUE)</f>
        <v>0.980773829568583</v>
      </c>
      <c r="J60" s="11">
        <f>_xlfn.NORM.S.DIST(2.08,TRUE)</f>
        <v>0.9812372353211342</v>
      </c>
      <c r="K60" s="11">
        <f>_xlfn.NORM.S.DIST(2.09,TRUE)</f>
        <v>0.9816911018640091</v>
      </c>
    </row>
    <row r="61" spans="1:11" x14ac:dyDescent="0.25">
      <c r="A61" s="16" t="s">
        <v>103</v>
      </c>
      <c r="B61" s="11">
        <f>_xlfn.NORM.S.DIST(2.1,TRUE)</f>
        <v>0.9821355811121546</v>
      </c>
      <c r="C61" s="11">
        <f>_xlfn.NORM.S.DIST(2.11,TRUE)</f>
        <v>0.9825708236964028</v>
      </c>
      <c r="D61" s="11">
        <f>_xlfn.NORM.S.DIST(2.12,TRUE)</f>
        <v>0.9829969789453762</v>
      </c>
      <c r="E61" s="11">
        <f>_xlfn.NORM.S.DIST(2.13,TRUE)</f>
        <v>0.9834141948682844</v>
      </c>
      <c r="F61" s="11">
        <f>_xlfn.NORM.S.DIST(2.14,TRUE)</f>
        <v>0.9838226181386026</v>
      </c>
      <c r="G61" s="11">
        <f>_xlfn.NORM.S.DIST(2.15,TRUE)</f>
        <v>0.9842223940786201</v>
      </c>
      <c r="H61" s="11">
        <f>_xlfn.NORM.S.DIST(2.16,TRUE)</f>
        <v>0.9846136666448502</v>
      </c>
      <c r="I61" s="11">
        <f>_xlfn.NORM.S.DIST(2.17,TRUE)</f>
        <v>0.9849965784142882</v>
      </c>
      <c r="J61" s="11">
        <f>_xlfn.NORM.S.DIST(2.18,TRUE)</f>
        <v>0.9853712705715094</v>
      </c>
      <c r="K61" s="11">
        <f>_xlfn.NORM.S.DIST(2.19,TRUE)</f>
        <v>0.9857378828965917</v>
      </c>
    </row>
    <row r="62" spans="1:11" x14ac:dyDescent="0.25">
      <c r="A62" s="16" t="s">
        <v>104</v>
      </c>
      <c r="B62" s="11">
        <f>_xlfn.NORM.S.DIST(2.2,TRUE)</f>
        <v>0.9860965537538547</v>
      </c>
      <c r="C62" s="11">
        <f>_xlfn.NORM.S.DIST(2.21,TRUE)</f>
        <v>0.9864474200814008</v>
      </c>
      <c r="D62" s="11">
        <f>_xlfn.NORM.S.DIST(2.22,TRUE)</f>
        <v>0.9867906173814478</v>
      </c>
      <c r="E62" s="11">
        <f>_xlfn.NORM.S.DIST(2.23,TRUE)</f>
        <v>0.987126279711439</v>
      </c>
      <c r="F62" s="11">
        <f>_xlfn.NORM.S.DIST(2.24,TRUE)</f>
        <v>0.9874545396759202</v>
      </c>
      <c r="G62" s="11">
        <f>_xlfn.NORM.S.DIST(2.25,TRUE)</f>
        <v>0.9877755284191692</v>
      </c>
      <c r="H62" s="11">
        <f>_xlfn.NORM.S.DIST(2.26,TRUE)</f>
        <v>0.988089375618565</v>
      </c>
      <c r="I62" s="11">
        <f>_xlfn.NORM.S.DIST(2.27,TRUE)</f>
        <v>0.9883962094786851</v>
      </c>
      <c r="J62" s="11">
        <f>_xlfn.NORM.S.DIST(2.28,TRUE)</f>
        <v>0.9886961567261154</v>
      </c>
      <c r="K62" s="11">
        <f>_xlfn.NORM.S.DIST(2.29,TRUE)</f>
        <v>0.9889893426049616</v>
      </c>
    </row>
    <row r="63" spans="1:11" x14ac:dyDescent="0.25">
      <c r="A63" s="16" t="s">
        <v>105</v>
      </c>
      <c r="B63" s="11">
        <f>_xlfn.NORM.S.DIST(2.3,TRUE)</f>
        <v>0.9892758908730476</v>
      </c>
      <c r="C63" s="11">
        <f>_xlfn.NORM.S.DIST(2.31,TRUE)</f>
        <v>0.9895559237987858</v>
      </c>
      <c r="D63" s="11">
        <f>_xlfn.NORM.S.DIST(2.32,TRUE)</f>
        <v>0.9898295621587097</v>
      </c>
      <c r="E63" s="11">
        <f>_xlfn.NORM.S.DIST(2.33,TRUE)</f>
        <v>0.9900969252356503</v>
      </c>
      <c r="F63" s="11">
        <f>_xlfn.NORM.S.DIST(2.34,TRUE)</f>
        <v>0.990358130817546</v>
      </c>
      <c r="G63" s="11">
        <f>_xlfn.NORM.S.DIST(2.35,TRUE)</f>
        <v>0.9906132951968698</v>
      </c>
      <c r="H63" s="11">
        <f>_xlfn.NORM.S.DIST(2.36,TRUE)</f>
        <v>0.9908625331706624</v>
      </c>
      <c r="I63" s="11">
        <f>_xlfn.NORM.S.DIST(2.37,TRUE)</f>
        <v>0.9911059580411541</v>
      </c>
      <c r="J63" s="11">
        <f>_xlfn.NORM.S.DIST(2.38,TRUE)</f>
        <v>0.9913436816169641</v>
      </c>
      <c r="K63" s="11">
        <f>_xlfn.NORM.S.DIST(2.39,TRUE)</f>
        <v>0.9915758142148621</v>
      </c>
    </row>
    <row r="64" spans="1:11" x14ac:dyDescent="0.25">
      <c r="A64" s="16" t="s">
        <v>106</v>
      </c>
      <c r="B64" s="11">
        <f>_xlfn.NORM.S.DIST(2.4,TRUE)</f>
        <v>0.9918024646620782</v>
      </c>
      <c r="C64" s="11">
        <f>_xlfn.NORM.S.DIST(2.41,TRUE)</f>
        <v>0.9920237402991472</v>
      </c>
      <c r="D64" s="11">
        <f>_xlfn.NORM.S.DIST(2.42,TRUE)</f>
        <v>0.9922397469832731</v>
      </c>
      <c r="E64" s="11">
        <f>_xlfn.NORM.S.DIST(2.43,TRUE)</f>
        <v>0.9924505890922009</v>
      </c>
      <c r="F64" s="11">
        <f>_xlfn.NORM.S.DIST(2.44,TRUE)</f>
        <v>0.9926563695285796</v>
      </c>
      <c r="G64" s="11">
        <f>_xlfn.NORM.S.DIST(2.45,TRUE)</f>
        <v>0.9928571897248047</v>
      </c>
      <c r="H64" s="11">
        <f>_xlfn.NORM.S.DIST(2.46,TRUE)</f>
        <v>0.9930531496483255</v>
      </c>
      <c r="I64" s="11">
        <f>_xlfn.NORM.S.DIST(2.47,TRUE)</f>
        <v>0.9932443478074022</v>
      </c>
      <c r="J64" s="11">
        <f>_xlfn.NORM.S.DIST(2.48,TRUE)</f>
        <v>0.9934308812573017</v>
      </c>
      <c r="K64" s="11">
        <f>_xlfn.NORM.S.DIST(2.49,TRUE)</f>
        <v>0.993612845606916</v>
      </c>
    </row>
    <row r="65" spans="1:11" x14ac:dyDescent="0.25">
      <c r="A65" s="16" t="s">
        <v>107</v>
      </c>
      <c r="B65" s="11">
        <f>_xlfn.NORM.S.DIST(2.5,TRUE)</f>
        <v>0.9937903350257904</v>
      </c>
      <c r="C65" s="11">
        <f>_xlfn.NORM.S.DIST(2.51,TRUE)</f>
        <v>0.9939634422515488</v>
      </c>
      <c r="D65" s="11">
        <f>_xlfn.NORM.S.DIST(2.52,TRUE)</f>
        <v>0.9941322585977017</v>
      </c>
      <c r="E65" s="11">
        <f>_xlfn.NORM.S.DIST(2.53,TRUE)</f>
        <v>0.9942968739618241</v>
      </c>
      <c r="F65" s="11">
        <f>_xlfn.NORM.S.DIST(2.54,TRUE)</f>
        <v>0.9944573768340896</v>
      </c>
      <c r="G65" s="11">
        <f>_xlfn.NORM.S.DIST(2.55,TRUE)</f>
        <v>0.9946138543061489</v>
      </c>
      <c r="H65" s="11">
        <f>_xlfn.NORM.S.DIST(2.56,TRUE)</f>
        <v>0.9947663920803371</v>
      </c>
      <c r="I65" s="11">
        <f>_xlfn.NORM.S.DIST(2.57,TRUE)</f>
        <v>0.9949150744792014</v>
      </c>
      <c r="J65" s="11">
        <f>_xlfn.NORM.S.DIST(2.58,TRUE)</f>
        <v>0.995059984455331</v>
      </c>
      <c r="K65" s="11">
        <f>_xlfn.NORM.S.DIST(2.59,TRUE)</f>
        <v>0.9952012036014818</v>
      </c>
    </row>
    <row r="66" spans="1:11" x14ac:dyDescent="0.25">
      <c r="A66" s="16" t="s">
        <v>108</v>
      </c>
      <c r="B66" s="11">
        <f>_xlfn.NORM.S.DIST(2.6,TRUE)</f>
        <v>0.9953388121609799</v>
      </c>
      <c r="C66" s="11">
        <f>_xlfn.NORM.S.DIST(2.61,TRUE)</f>
        <v>0.995472889038393</v>
      </c>
      <c r="D66" s="11">
        <f>_xlfn.NORM.S.DIST(2.62,TRUE)</f>
        <v>0.9956035118104587</v>
      </c>
      <c r="E66" s="11">
        <f>_xlfn.NORM.S.DIST(2.63,TRUE)</f>
        <v>0.9957307567372549</v>
      </c>
      <c r="F66" s="11">
        <f>_xlfn.NORM.S.DIST(2.64,TRUE)</f>
        <v>0.9958546987736033</v>
      </c>
      <c r="G66" s="11">
        <f>_xlfn.NORM.S.DIST(2.65,TRUE)</f>
        <v>0.9959754115806935</v>
      </c>
      <c r="H66" s="11">
        <f>_xlfn.NORM.S.DIST(2.66,TRUE)</f>
        <v>0.9960929675379152</v>
      </c>
      <c r="I66" s="11">
        <f>_xlfn.NORM.S.DIST(2.67,TRUE)</f>
        <v>0.9962074377548887</v>
      </c>
      <c r="J66" s="11">
        <f>_xlfn.NORM.S.DIST(2.68,TRUE)</f>
        <v>0.996318892083682</v>
      </c>
      <c r="K66" s="11">
        <f>_xlfn.NORM.S.DIST(2.69,TRUE)</f>
        <v>0.9964273991312026</v>
      </c>
    </row>
    <row r="67" spans="1:11" x14ac:dyDescent="0.25">
      <c r="A67" s="16" t="s">
        <v>109</v>
      </c>
      <c r="B67" s="11">
        <f>_xlfn.NORM.S.DIST(2.7,TRUE)</f>
        <v>0.9965330262717562</v>
      </c>
      <c r="C67" s="11">
        <f>_xlfn.NORM.S.DIST(2.71,TRUE)</f>
        <v>0.9966358396597579</v>
      </c>
      <c r="D67" s="11">
        <f>_xlfn.NORM.S.DIST(2.72,TRUE)</f>
        <v>0.9967359042425882</v>
      </c>
      <c r="E67" s="11">
        <f>_xlfn.NORM.S.DIST(2.73,TRUE)</f>
        <v>0.996833283773583</v>
      </c>
      <c r="F67" s="11">
        <f>_xlfn.NORM.S.DIST(2.74,TRUE)</f>
        <v>0.9969280408251473</v>
      </c>
      <c r="G67" s="11">
        <f>_xlfn.NORM.S.DIST(2.75,TRUE)</f>
        <v>0.9970202368019829</v>
      </c>
      <c r="H67" s="11">
        <f>_xlfn.NORM.S.DIST(2.76,TRUE)</f>
        <v>0.9971099319544209</v>
      </c>
      <c r="I67" s="11">
        <f>_xlfn.NORM.S.DIST(2.77,TRUE)</f>
        <v>0.9971971853918485</v>
      </c>
      <c r="J67" s="11">
        <f>_xlfn.NORM.S.DIST(2.78,TRUE)</f>
        <v>0.9972820550962233</v>
      </c>
      <c r="K67" s="11">
        <f>_xlfn.NORM.S.DIST(2.79,TRUE)</f>
        <v>0.9973645979356628</v>
      </c>
    </row>
    <row r="68" spans="1:11" x14ac:dyDescent="0.25">
      <c r="A68" s="16" t="s">
        <v>110</v>
      </c>
      <c r="B68" s="11">
        <f>_xlfn.NORM.S.DIST(2.8,TRUE)</f>
        <v>0.9974448696781031</v>
      </c>
      <c r="C68" s="11">
        <f>_xlfn.NORM.S.DIST(2.81,TRUE)</f>
        <v>0.9975229250050165</v>
      </c>
      <c r="D68" s="11">
        <f>_xlfn.NORM.S.DIST(2.82,TRUE)</f>
        <v>0.9975988175251809</v>
      </c>
      <c r="E68" s="11">
        <f>_xlfn.NORM.S.DIST(2.83,TRUE)</f>
        <v>0.9976725997884911</v>
      </c>
      <c r="F68" s="11">
        <f>_xlfn.NORM.S.DIST(2.84,TRUE)</f>
        <v>0.9977443232998067</v>
      </c>
      <c r="G68" s="11">
        <f>_xlfn.NORM.S.DIST(2.85,TRUE)</f>
        <v>0.9978140385328247</v>
      </c>
      <c r="H68" s="11">
        <f>_xlfn.NORM.S.DIST(2.86,TRUE)</f>
        <v>0.9978817949439742</v>
      </c>
      <c r="I68" s="11">
        <f>_xlfn.NORM.S.DIST(2.87,TRUE)</f>
        <v>0.9979476409863213</v>
      </c>
      <c r="J68" s="11">
        <f>_xlfn.NORM.S.DIST(2.88,TRUE)</f>
        <v>0.99801162412348</v>
      </c>
      <c r="K68" s="11">
        <f>_xlfn.NORM.S.DIST(2.89,TRUE)</f>
        <v>0.9980737908435209</v>
      </c>
    </row>
    <row r="69" spans="1:11" x14ac:dyDescent="0.25">
      <c r="A69" s="16" t="s">
        <v>111</v>
      </c>
      <c r="B69" s="11">
        <f>_xlfn.NORM.S.DIST(2.9,TRUE)</f>
        <v>0.9981341866728706</v>
      </c>
      <c r="C69" s="11">
        <f>_xlfn.NORM.S.DIST(2.91,TRUE)</f>
        <v>0.9981928561901958</v>
      </c>
      <c r="D69" s="11">
        <f>_xlfn.NORM.S.DIST(2.92,TRUE)</f>
        <v>0.9982498430402663</v>
      </c>
      <c r="E69" s="11">
        <f>_xlfn.NORM.S.DIST(2.93,TRUE)</f>
        <v>0.998305189947789</v>
      </c>
      <c r="F69" s="11">
        <f>_xlfn.NORM.S.DIST(2.94,TRUE)</f>
        <v>0.9983589387312081</v>
      </c>
      <c r="G69" s="11">
        <f>_xlfn.NORM.S.DIST(2.95,TRUE)</f>
        <v>0.9984111303164654</v>
      </c>
      <c r="H69" s="11">
        <f>_xlfn.NORM.S.DIST(2.96,TRUE)</f>
        <v>0.9984618047507157</v>
      </c>
      <c r="I69" s="11">
        <f>_xlfn.NORM.S.DIST(2.97,TRUE)</f>
        <v>0.99851100121599</v>
      </c>
      <c r="J69" s="11">
        <f>_xlfn.NORM.S.DIST(2.98,TRUE)</f>
        <v>0.9985587580428038</v>
      </c>
      <c r="K69" s="11">
        <f>_xlfn.NORM.S.DIST(2.99,TRUE)</f>
        <v>0.9986051127237029</v>
      </c>
    </row>
    <row r="70" spans="1:11" x14ac:dyDescent="0.25">
      <c r="A70" s="16" t="s">
        <v>112</v>
      </c>
      <c r="B70" s="11">
        <f>_xlfn.NORM.S.DIST(3,TRUE)</f>
        <v>0.9986501019267444</v>
      </c>
      <c r="C70" s="11">
        <f>_xlfn.NORM.S.DIST(3.01,TRUE)</f>
        <v>0.9986937615089053</v>
      </c>
      <c r="D70" s="11">
        <f>_xlfn.NORM.S.DIST(3.02,TRUE)</f>
        <v>0.9987361265294169</v>
      </c>
      <c r="E70" s="11">
        <f>_xlfn.NORM.S.DIST(3.03,TRUE)</f>
        <v>0.9987772312630192</v>
      </c>
      <c r="F70" s="11">
        <f>_xlfn.NORM.S.DIST(3.04,TRUE)</f>
        <v>0.9988171092131307</v>
      </c>
      <c r="G70" s="11">
        <f>_xlfn.NORM.S.DIST(3.05,TRUE)</f>
        <v>0.9988557931249317</v>
      </c>
      <c r="H70" s="11">
        <f>_xlfn.NORM.S.DIST(3.06,TRUE)</f>
        <v>0.998893314998354</v>
      </c>
      <c r="I70" s="11">
        <f>_xlfn.NORM.S.DIST(3.07,TRUE)</f>
        <v>0.9989297061009773</v>
      </c>
      <c r="J70" s="11">
        <f>_xlfn.NORM.S.DIST(3.08,TRUE)</f>
        <v>0.9989649969808251</v>
      </c>
      <c r="K70" s="11">
        <f>_xlfn.NORM.S.DIST(3.09,TRUE)</f>
        <v>0.9989992174790593</v>
      </c>
    </row>
    <row r="71" spans="1:11" x14ac:dyDescent="0.25">
      <c r="A71" s="16" t="s">
        <v>113</v>
      </c>
      <c r="B71" s="11">
        <f>_xlfn.NORM.S.DIST(3.1,TRUE)</f>
        <v>0.9990323967425689</v>
      </c>
      <c r="C71" s="11">
        <f>_xlfn.NORM.S.DIST(3.11,TRUE)</f>
        <v>0.9990645632364512</v>
      </c>
      <c r="D71" s="11">
        <f>_xlfn.NORM.S.DIST(3.12,TRUE)</f>
        <v>0.9990957447563804</v>
      </c>
      <c r="E71" s="11">
        <f>_xlfn.NORM.S.DIST(3.13,TRUE)</f>
        <v>0.9991259684408637</v>
      </c>
      <c r="F71" s="11">
        <f>_xlfn.NORM.S.DIST(3.14,TRUE)</f>
        <v>0.9991552607833801</v>
      </c>
      <c r="G71" s="11">
        <f>_xlfn.NORM.S.DIST(3.15,TRUE)</f>
        <v>0.9991836476444006</v>
      </c>
      <c r="H71" s="11">
        <f>_xlfn.NORM.S.DIST(3.16,TRUE)</f>
        <v>0.9992111542632873</v>
      </c>
      <c r="I71" s="11">
        <f>_xlfn.NORM.S.DIST(3.17,TRUE)</f>
        <v>0.9992378052700689</v>
      </c>
      <c r="J71" s="11">
        <f>_xlfn.NORM.S.DIST(3.18,TRUE)</f>
        <v>0.9992636246970916</v>
      </c>
      <c r="K71" s="11">
        <f>_xlfn.NORM.S.DIST(3.19,TRUE)</f>
        <v>0.9992886359905425</v>
      </c>
    </row>
    <row r="72" spans="1:11" x14ac:dyDescent="0.25">
      <c r="A72" s="16" t="s">
        <v>114</v>
      </c>
      <c r="B72" s="11">
        <f>_xlfn.NORM.S.DIST(3.2,TRUE)</f>
        <v>0.9993128620218442</v>
      </c>
      <c r="C72" s="11">
        <f>_xlfn.NORM.S.DIST(3.21,TRUE)</f>
        <v>0.999336325098919</v>
      </c>
      <c r="D72" s="11">
        <f>_xlfn.NORM.S.DIST(3.22,TRUE)</f>
        <v>0.9993590469773219</v>
      </c>
      <c r="E72" s="11">
        <f>_xlfn.NORM.S.DIST(3.23,TRUE)</f>
        <v>0.9993810488712395</v>
      </c>
      <c r="F72" s="11">
        <f>_xlfn.NORM.S.DIST(3.24,TRUE)</f>
        <v>0.9994023514643551</v>
      </c>
      <c r="G72" s="11">
        <f>_xlfn.NORM.S.DIST(3.25,TRUE)</f>
        <v>0.9994229749205783</v>
      </c>
      <c r="H72" s="11">
        <f>_xlfn.NORM.S.DIST(3.26,TRUE)</f>
        <v>0.9994429388946383</v>
      </c>
      <c r="I72" s="11">
        <f>_xlfn.NORM.S.DIST(3.27,TRUE)</f>
        <v>0.9994622625425391</v>
      </c>
      <c r="J72" s="11">
        <f>_xlfn.NORM.S.DIST(3.28,TRUE)</f>
        <v>0.9994809645318777</v>
      </c>
      <c r="K72" s="11">
        <f>_xlfn.NORM.S.DIST(3.29,TRUE)</f>
        <v>0.9994990630520231</v>
      </c>
    </row>
    <row r="73" spans="1:11" x14ac:dyDescent="0.25">
      <c r="A73" s="16" t="s">
        <v>115</v>
      </c>
      <c r="B73" s="11">
        <f>_xlfn.NORM.S.DIST(3.3,TRUE)</f>
        <v>0.9995165758241555</v>
      </c>
      <c r="C73" s="11">
        <f>_xlfn.NORM.S.DIST(3.31,TRUE)</f>
        <v>0.9995335201111669</v>
      </c>
      <c r="D73" s="11">
        <f>_xlfn.NORM.S.DIST(3.32,TRUE)</f>
        <v>0.9995499127274207</v>
      </c>
      <c r="E73" s="11">
        <f>_xlfn.NORM.S.DIST(3.33,TRUE)</f>
        <v>0.9995657700483712</v>
      </c>
      <c r="F73" s="11">
        <f>_xlfn.NORM.S.DIST(3.34,TRUE)</f>
        <v>0.9995811080200429</v>
      </c>
      <c r="G73" s="11">
        <f>_xlfn.NORM.S.DIST(3.35,TRUE)</f>
        <v>0.9995959421683686</v>
      </c>
      <c r="H73" s="11">
        <f>_xlfn.NORM.S.DIST(3.36,TRUE)</f>
        <v>0.9996102876083879</v>
      </c>
      <c r="I73" s="11">
        <f>_xlfn.NORM.S.DIST(3.37,TRUE)</f>
        <v>0.9996241590533038</v>
      </c>
      <c r="J73" s="11">
        <f>_xlfn.NORM.S.DIST(3.38,TRUE)</f>
        <v>0.9996375708234005</v>
      </c>
      <c r="K73" s="11">
        <f>_xlfn.NORM.S.DIST(3.39,TRUE)</f>
        <v>0.9996505368548202</v>
      </c>
    </row>
    <row r="74" spans="1:11" x14ac:dyDescent="0.25">
      <c r="A74" s="16" t="s">
        <v>116</v>
      </c>
      <c r="B74" s="11">
        <f>_xlfn.NORM.S.DIST(3.4,TRUE)</f>
        <v>0.9996630707081997</v>
      </c>
      <c r="C74" s="11">
        <f>_xlfn.NORM.S.DIST(3.41,TRUE)</f>
        <v>0.9996751855771693</v>
      </c>
      <c r="D74" s="11">
        <f>_xlfn.NORM.S.DIST(3.42,TRUE)</f>
        <v>0.9996868942967109</v>
      </c>
      <c r="E74" s="11">
        <f>_xlfn.NORM.S.DIST(3.43,TRUE)</f>
        <v>0.999698209351379</v>
      </c>
      <c r="F74" s="11">
        <f>_xlfn.NORM.S.DIST(3.44,TRUE)</f>
        <v>0.9997091428833836</v>
      </c>
      <c r="G74" s="11">
        <f>_xlfn.NORM.S.DIST(3.45,TRUE)</f>
        <v>0.9997197067005353</v>
      </c>
      <c r="H74" s="11">
        <f>_xlfn.NORM.S.DIST(3.46,TRUE)</f>
        <v>0.9997299122840554</v>
      </c>
      <c r="I74" s="11">
        <f>_xlfn.NORM.S.DIST(3.47,TRUE)</f>
        <v>0.9997397707962482</v>
      </c>
      <c r="J74" s="11">
        <f>_xlfn.NORM.S.DIST(3.48,TRUE)</f>
        <v>0.9997492930880412</v>
      </c>
      <c r="K74" s="11">
        <f>_xlfn.NORM.S.DIST(3.49,TRUE)</f>
        <v>0.9997584897063887</v>
      </c>
    </row>
  </sheetData>
  <pageMargins left="0.4" right="0.4" top="0.5" bottom="0.5" header="0.2" footer="0.2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Cosecha</vt:lpstr>
      <vt:lpstr>Tabla 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Normal y tabla Z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